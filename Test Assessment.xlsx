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kavitha\OneDrive\Desktop\"/>
    </mc:Choice>
  </mc:AlternateContent>
  <xr:revisionPtr revIDLastSave="0" documentId="8_{20A093ED-FDA4-4D91-B7F2-468AD0BC2221}" xr6:coauthVersionLast="47" xr6:coauthVersionMax="47" xr10:uidLastSave="{00000000-0000-0000-0000-000000000000}"/>
  <bookViews>
    <workbookView xWindow="-108" yWindow="-108" windowWidth="23256" windowHeight="12456" firstSheet="1" activeTab="6" xr2:uid="{31E6FBAF-26F5-41FD-8BBE-DA775D96C47B}"/>
  </bookViews>
  <sheets>
    <sheet name="Original Data" sheetId="1" r:id="rId1"/>
    <sheet name="Pivot 1" sheetId="2" r:id="rId2"/>
    <sheet name="Pivot 2" sheetId="3" r:id="rId3"/>
    <sheet name="Best SalesPerson" sheetId="5" r:id="rId4"/>
    <sheet name="Region Wise SalesPerson" sheetId="6" r:id="rId5"/>
    <sheet name="Category-wise Pie Chart" sheetId="7" r:id="rId6"/>
    <sheet name="DashBoard" sheetId="9" r:id="rId7"/>
  </sheets>
  <definedNames>
    <definedName name="Slicer_Region">#N/A</definedName>
    <definedName name="Slicer_Salesperson">#N/A</definedName>
  </definedNames>
  <calcPr calcId="191029"/>
  <pivotCaches>
    <pivotCache cacheId="9"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 r="M2" i="1"/>
  <c r="N2" i="1"/>
  <c r="O2" i="1" s="1"/>
  <c r="P2" i="1" s="1"/>
  <c r="N3" i="1"/>
  <c r="N4" i="1"/>
  <c r="N5" i="1"/>
  <c r="N6" i="1"/>
  <c r="N7" i="1"/>
  <c r="N8" i="1"/>
  <c r="N9" i="1"/>
  <c r="N10" i="1"/>
  <c r="N11" i="1"/>
  <c r="N12" i="1"/>
  <c r="N13" i="1"/>
  <c r="O13" i="1" s="1"/>
  <c r="P13" i="1" s="1"/>
  <c r="N14" i="1"/>
  <c r="O14" i="1" s="1"/>
  <c r="P14" i="1" s="1"/>
  <c r="N15" i="1"/>
  <c r="O15" i="1" s="1"/>
  <c r="P15" i="1" s="1"/>
  <c r="N16" i="1"/>
  <c r="O16" i="1" s="1"/>
  <c r="P16" i="1" s="1"/>
  <c r="N17" i="1"/>
  <c r="N18" i="1"/>
  <c r="N19" i="1"/>
  <c r="N20" i="1"/>
  <c r="N21" i="1"/>
  <c r="J2" i="1"/>
  <c r="L2" i="1" s="1"/>
  <c r="J3" i="1"/>
  <c r="L3" i="1" s="1"/>
  <c r="J4" i="1"/>
  <c r="L4" i="1" s="1"/>
  <c r="J5" i="1"/>
  <c r="K5" i="1" s="1"/>
  <c r="J6" i="1"/>
  <c r="K6" i="1" s="1"/>
  <c r="M6" i="1" s="1"/>
  <c r="J7" i="1"/>
  <c r="K7" i="1" s="1"/>
  <c r="J8" i="1"/>
  <c r="K8" i="1" s="1"/>
  <c r="M8" i="1" s="1"/>
  <c r="J9" i="1"/>
  <c r="K9" i="1" s="1"/>
  <c r="M9" i="1" s="1"/>
  <c r="J10" i="1"/>
  <c r="L10" i="1" s="1"/>
  <c r="J11" i="1"/>
  <c r="L11" i="1" s="1"/>
  <c r="J12" i="1"/>
  <c r="L12" i="1" s="1"/>
  <c r="J13" i="1"/>
  <c r="K13" i="1" s="1"/>
  <c r="M13" i="1" s="1"/>
  <c r="J14" i="1"/>
  <c r="K14" i="1" s="1"/>
  <c r="M14" i="1" s="1"/>
  <c r="J15" i="1"/>
  <c r="K15" i="1" s="1"/>
  <c r="M15" i="1" s="1"/>
  <c r="J16" i="1"/>
  <c r="K16" i="1" s="1"/>
  <c r="M16" i="1" s="1"/>
  <c r="J17" i="1"/>
  <c r="L17" i="1" s="1"/>
  <c r="J18" i="1"/>
  <c r="K18" i="1" s="1"/>
  <c r="M18" i="1" s="1"/>
  <c r="J19" i="1"/>
  <c r="K19" i="1" s="1"/>
  <c r="M19" i="1" s="1"/>
  <c r="J20" i="1"/>
  <c r="K20" i="1" s="1"/>
  <c r="M20" i="1" s="1"/>
  <c r="J21" i="1"/>
  <c r="K21" i="1" s="1"/>
  <c r="M21" i="1" s="1"/>
  <c r="O7" i="1" l="1"/>
  <c r="P7" i="1" s="1"/>
  <c r="O5" i="1"/>
  <c r="P5" i="1" s="1"/>
  <c r="O18" i="1"/>
  <c r="P18" i="1" s="1"/>
  <c r="O6" i="1"/>
  <c r="P6" i="1" s="1"/>
  <c r="M7" i="1"/>
  <c r="O21" i="1"/>
  <c r="P21" i="1" s="1"/>
  <c r="O9" i="1"/>
  <c r="P9" i="1" s="1"/>
  <c r="O20" i="1"/>
  <c r="P20" i="1" s="1"/>
  <c r="O8" i="1"/>
  <c r="P8" i="1" s="1"/>
  <c r="O19" i="1"/>
  <c r="P19" i="1" s="1"/>
  <c r="K4" i="1"/>
  <c r="O4" i="1" s="1"/>
  <c r="P4" i="1" s="1"/>
  <c r="K3" i="1"/>
  <c r="O3" i="1" s="1"/>
  <c r="P3" i="1" s="1"/>
  <c r="K2" i="1"/>
  <c r="M5" i="1"/>
  <c r="L16" i="1"/>
  <c r="L15" i="1"/>
  <c r="L14" i="1"/>
  <c r="L13" i="1"/>
  <c r="K12" i="1"/>
  <c r="K11" i="1"/>
  <c r="K10" i="1"/>
  <c r="O10" i="1" s="1"/>
  <c r="P10" i="1" s="1"/>
  <c r="L9" i="1"/>
  <c r="K17" i="1"/>
  <c r="L8" i="1"/>
  <c r="L19" i="1"/>
  <c r="L18" i="1"/>
  <c r="L6" i="1"/>
  <c r="L21" i="1"/>
  <c r="L20" i="1"/>
  <c r="L7" i="1"/>
  <c r="L5" i="1"/>
  <c r="M12" i="1" l="1"/>
  <c r="O12" i="1"/>
  <c r="P12" i="1" s="1"/>
  <c r="M17" i="1"/>
  <c r="O17" i="1"/>
  <c r="P17" i="1" s="1"/>
  <c r="M11" i="1"/>
  <c r="O11" i="1"/>
  <c r="P11" i="1" s="1"/>
  <c r="E28" i="1"/>
  <c r="M3" i="1"/>
  <c r="B28" i="1"/>
  <c r="B27" i="1"/>
  <c r="M10" i="1"/>
  <c r="E25" i="1"/>
  <c r="B26" i="1"/>
  <c r="B25" i="1"/>
  <c r="E27" i="1"/>
  <c r="E26" i="1"/>
  <c r="M4" i="1"/>
</calcChain>
</file>

<file path=xl/sharedStrings.xml><?xml version="1.0" encoding="utf-8"?>
<sst xmlns="http://schemas.openxmlformats.org/spreadsheetml/2006/main" count="148" uniqueCount="43">
  <si>
    <t>Order ID</t>
  </si>
  <si>
    <t>Date</t>
  </si>
  <si>
    <t>Region</t>
  </si>
  <si>
    <t>Salesperson</t>
  </si>
  <si>
    <t>Product</t>
  </si>
  <si>
    <t>Category</t>
  </si>
  <si>
    <t>Units</t>
  </si>
  <si>
    <t>Unit Price</t>
  </si>
  <si>
    <t>Discount %</t>
  </si>
  <si>
    <t>North</t>
  </si>
  <si>
    <t>Rahul</t>
  </si>
  <si>
    <t>Laptop</t>
  </si>
  <si>
    <t>Electronics</t>
  </si>
  <si>
    <t>South</t>
  </si>
  <si>
    <t>Priya</t>
  </si>
  <si>
    <t>Mouse</t>
  </si>
  <si>
    <t>Accessories</t>
  </si>
  <si>
    <t>East</t>
  </si>
  <si>
    <t>Amit</t>
  </si>
  <si>
    <t>Keyboard</t>
  </si>
  <si>
    <t>West</t>
  </si>
  <si>
    <t>Sneha</t>
  </si>
  <si>
    <t>Monitor</t>
  </si>
  <si>
    <t>Monthly Target</t>
  </si>
  <si>
    <t>Gross Sales</t>
  </si>
  <si>
    <t>Net Sales</t>
  </si>
  <si>
    <t>Discount Amount</t>
  </si>
  <si>
    <t>Preformance</t>
  </si>
  <si>
    <t>Total Net Sales</t>
  </si>
  <si>
    <t>Average Net Sales</t>
  </si>
  <si>
    <t>Maximum Sales</t>
  </si>
  <si>
    <t>Minimum Sales</t>
  </si>
  <si>
    <t>North Region Sales</t>
  </si>
  <si>
    <t>South Region Sales</t>
  </si>
  <si>
    <t>Electronics Sales</t>
  </si>
  <si>
    <t>Accessories Sales</t>
  </si>
  <si>
    <t>Achievement %</t>
  </si>
  <si>
    <t>Status</t>
  </si>
  <si>
    <t>Row Labels</t>
  </si>
  <si>
    <t>Grand Total</t>
  </si>
  <si>
    <t>Column Labels</t>
  </si>
  <si>
    <t>Sum of Net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</si>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</sst>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entury Gothic"/>
      <family val="2"/>
      <scheme val="minor"/>
    </font>
    <font>
      <b/>
      <sz val="11"/>
      <color theme="1"/>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5" fontId="0" fillId="0" borderId="0" xfId="0" applyNumberFormat="1"/>
    <xf numFmtId="0" fontId="1" fillId="0" borderId="0" xfId="0" applyFont="1"/>
    <xf numFmtId="0"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13">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1"/>
        <name val="Century Gothic"/>
        <family val="2"/>
        <scheme val="minor"/>
      </font>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Assessment.xlsx]Region Wise SalesPerson!PivotTable5</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b="1"/>
              <a:t>Region wise Sales</a:t>
            </a:r>
          </a:p>
        </c:rich>
      </c:tx>
      <c:layout>
        <c:manualLayout>
          <c:xMode val="edge"/>
          <c:yMode val="edge"/>
          <c:x val="0.24573616672437298"/>
          <c:y val="4.1666666666666664E-2"/>
        </c:manualLayout>
      </c:layout>
      <c:overlay val="0"/>
      <c:spPr>
        <a:solidFill>
          <a:schemeClr val="accent3">
            <a:lumMod val="40000"/>
            <a:lumOff val="60000"/>
          </a:schemeClr>
        </a:solid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3803354590174"/>
                  <c:h val="7.829764738789001E-2"/>
                </c:manualLayout>
              </c15:layout>
            </c:ext>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772524724048195"/>
                  <c:h val="8.6982910547944367E-2"/>
                </c:manualLayout>
              </c15:layout>
            </c:ext>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8965952988765473E-2"/>
                  <c:h val="8.2640278967917188E-2"/>
                </c:manualLayout>
              </c15:layout>
            </c:ext>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303542367755282"/>
                  <c:h val="0.10435343686805307"/>
                </c:manualLayout>
              </c15:layout>
            </c:ext>
          </c:extLst>
        </c:dLbl>
      </c:pivotFmt>
    </c:pivotFmts>
    <c:plotArea>
      <c:layout>
        <c:manualLayout>
          <c:layoutTarget val="inner"/>
          <c:xMode val="edge"/>
          <c:yMode val="edge"/>
          <c:x val="7.0761128822067712E-2"/>
          <c:y val="0.16352435669213203"/>
          <c:w val="0.85180682092263449"/>
          <c:h val="0.70646467953582404"/>
        </c:manualLayout>
      </c:layout>
      <c:barChart>
        <c:barDir val="col"/>
        <c:grouping val="clustered"/>
        <c:varyColors val="0"/>
        <c:ser>
          <c:idx val="0"/>
          <c:order val="0"/>
          <c:tx>
            <c:strRef>
              <c:f>'Region Wise SalesPerson'!$B$3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772524724048195"/>
                      <c:h val="8.6982910547944367E-2"/>
                    </c:manualLayout>
                  </c15:layout>
                </c:ext>
                <c:ext xmlns:c16="http://schemas.microsoft.com/office/drawing/2014/chart" uri="{C3380CC4-5D6E-409C-BE32-E72D297353CC}">
                  <c16:uniqueId val="{00000002-FF04-454A-B4F8-F9E58661C291}"/>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3803354590174"/>
                      <c:h val="7.829764738789001E-2"/>
                    </c:manualLayout>
                  </c15:layout>
                </c:ext>
                <c:ext xmlns:c16="http://schemas.microsoft.com/office/drawing/2014/chart" uri="{C3380CC4-5D6E-409C-BE32-E72D297353CC}">
                  <c16:uniqueId val="{00000001-FF04-454A-B4F8-F9E58661C291}"/>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8965952988765473E-2"/>
                      <c:h val="8.2640278967917188E-2"/>
                    </c:manualLayout>
                  </c15:layout>
                </c:ext>
                <c:ext xmlns:c16="http://schemas.microsoft.com/office/drawing/2014/chart" uri="{C3380CC4-5D6E-409C-BE32-E72D297353CC}">
                  <c16:uniqueId val="{00000003-FF04-454A-B4F8-F9E58661C291}"/>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303542367755282"/>
                      <c:h val="0.10435343686805307"/>
                    </c:manualLayout>
                  </c15:layout>
                </c:ext>
                <c:ext xmlns:c16="http://schemas.microsoft.com/office/drawing/2014/chart" uri="{C3380CC4-5D6E-409C-BE32-E72D297353CC}">
                  <c16:uniqueId val="{00000004-FF04-454A-B4F8-F9E58661C2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'Region Wise SalesPerson'!$A$4:$A$8</c:f>
              <c:strCache>
                <c:ptCount val="4"/>
                <c:pt idx="0">
                  <c:v>East</c:v>
                </c:pt>
                <c:pt idx="1">
                  <c:v>North</c:v>
                </c:pt>
                <c:pt idx="2">
                  <c:v>South</c:v>
                </c:pt>
                <c:pt idx="3">
                  <c:v>West</c:v>
                </c:pt>
              </c:strCache>
            </c:strRef>
          </c:cat>
          <c:val>
            <c:numRef>
              <c:f>'Region Wise SalesPerson'!$B$4:$B$8</c:f>
              <c:numCache>
                <c:formatCode>General</c:formatCode>
                <c:ptCount val="4"/>
                <c:pt idx="0">
                  <c:v>309167</c:v>
                </c:pt>
                <c:pt idx="1">
                  <c:v>221980</c:v>
                </c:pt>
                <c:pt idx="2">
                  <c:v>247765</c:v>
                </c:pt>
                <c:pt idx="3">
                  <c:v>239362</c:v>
                </c:pt>
              </c:numCache>
            </c:numRef>
          </c:val>
          <c:extLst>
            <c:ext xmlns:c16="http://schemas.microsoft.com/office/drawing/2014/chart" uri="{C3380CC4-5D6E-409C-BE32-E72D297353CC}">
              <c16:uniqueId val="{00000000-FF04-454A-B4F8-F9E58661C291}"/>
            </c:ext>
          </c:extLst>
        </c:ser>
        <c:dLbls>
          <c:dLblPos val="outEnd"/>
          <c:showLegendKey val="0"/>
          <c:showVal val="1"/>
          <c:showCatName val="0"/>
          <c:showSerName val="0"/>
          <c:showPercent val="0"/>
          <c:showBubbleSize val="0"/>
        </c:dLbls>
        <c:gapWidth val="164"/>
        <c:overlap val="-22"/>
        <c:axId val="870757712"/>
        <c:axId val="870758192"/>
      </c:barChart>
      <c:catAx>
        <c:axId val="87075771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758192"/>
        <c:crosses val="autoZero"/>
        <c:auto val="1"/>
        <c:lblAlgn val="ctr"/>
        <c:lblOffset val="100"/>
        <c:noMultiLvlLbl val="0"/>
      </c:catAx>
      <c:valAx>
        <c:axId val="870758192"/>
        <c:scaling>
          <c:orientation val="minMax"/>
        </c:scaling>
        <c:delete val="1"/>
        <c:axPos val="l"/>
        <c:numFmt formatCode="General" sourceLinked="1"/>
        <c:majorTickMark val="none"/>
        <c:minorTickMark val="none"/>
        <c:tickLblPos val="nextTo"/>
        <c:crossAx val="87075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[Test Assessment.xlsx]Category-wise Pie Chart!PivotTable6</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wise Pie</a:t>
            </a:r>
          </a:p>
        </c:rich>
      </c:tx>
      <c:overlay val="0"/>
      <c:spPr>
        <a:solidFill>
          <a:schemeClr val="accent3">
            <a:lumMod val="40000"/>
            <a:lumOff val="6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2"/>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111414330300407"/>
          <c:y val="0.19135249240115992"/>
          <c:w val="0.45074215282687652"/>
          <c:h val="0.75260089034685285"/>
        </c:manualLayout>
      </c:layout>
      <c:pieChart>
        <c:varyColors val="1"/>
        <c:ser>
          <c:idx val="0"/>
          <c:order val="0"/>
          <c:tx>
            <c:strRef>
              <c:f>'Category-wise Pie Chart'!$B$3</c:f>
              <c:strCache>
                <c:ptCount val="1"/>
                <c:pt idx="0">
                  <c:v>Total</c:v>
                </c:pt>
              </c:strCache>
            </c:strRef>
          </c:tx>
          <c:dPt>
            <c:idx val="0"/>
            <c:bubble3D val="0"/>
            <c:spPr>
              <a:solidFill>
                <a:schemeClr val="accent2">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2BF-4D4C-8E73-D7F3DA169D4F}"/>
              </c:ext>
            </c:extLst>
          </c:dPt>
          <c:dPt>
            <c:idx val="1"/>
            <c:bubble3D val="0"/>
            <c:spPr>
              <a:solidFill>
                <a:schemeClr val="accent2">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2BF-4D4C-8E73-D7F3DA169D4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'Category-wise Pie Chart'!$A$4:$A$6</c:f>
              <c:strCache>
                <c:ptCount val="2"/>
                <c:pt idx="0">
                  <c:v>Accessories</c:v>
                </c:pt>
                <c:pt idx="1">
                  <c:v>Electronics</c:v>
                </c:pt>
              </c:strCache>
            </c:strRef>
          </c:cat>
          <c:val>
            <c:numRef>
              <c:f>'Category-wise Pie Chart'!$B$4:$B$6</c:f>
              <c:numCache>
                <c:formatCode>General</c:formatCode>
                <c:ptCount val="2"/>
                <c:pt idx="0">
                  <c:v>68330</c:v>
                </c:pt>
                <c:pt idx="1">
                  <c:v>949944</c:v>
                </c:pt>
              </c:numCache>
            </c:numRef>
          </c:val>
          <c:extLst>
            <c:ext xmlns:c16="http://schemas.microsoft.com/office/drawing/2014/chart" uri="{C3380CC4-5D6E-409C-BE32-E72D297353CC}">
              <c16:uniqueId val="{00000004-12BF-4D4C-8E73-D7F3DA169D4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94282</xdr:colOff>
      <xdr:row>1</xdr:row>
      <xdr:rowOff>48690</xdr:rowOff>
    </xdr:from>
    <xdr:to>
      <xdr:col>28</xdr:col>
      <xdr:colOff>236838</xdr:colOff>
      <xdr:row>6</xdr:row>
      <xdr:rowOff>12916</xdr:rowOff>
    </xdr:to>
    <xdr:sp macro="" textlink="">
      <xdr:nvSpPr>
        <xdr:cNvPr id="2" name="Rectangle 1">
          <a:extLst>
            <a:ext uri="{FF2B5EF4-FFF2-40B4-BE49-F238E27FC236}">
              <a16:creationId xmlns:a16="http://schemas.microsoft.com/office/drawing/2014/main" id="{D81B5863-485A-6F2D-E033-1724F175D2E0}"/>
            </a:ext>
          </a:extLst>
        </xdr:cNvPr>
        <xdr:cNvSpPr/>
      </xdr:nvSpPr>
      <xdr:spPr>
        <a:xfrm>
          <a:off x="763606" y="223744"/>
          <a:ext cx="18214313" cy="839496"/>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3600"/>
            <a:t>Sales Performance Dashboard</a:t>
          </a:r>
        </a:p>
      </xdr:txBody>
    </xdr:sp>
    <xdr:clientData/>
  </xdr:twoCellAnchor>
  <xdr:twoCellAnchor>
    <xdr:from>
      <xdr:col>8</xdr:col>
      <xdr:colOff>377710</xdr:colOff>
      <xdr:row>7</xdr:row>
      <xdr:rowOff>109035</xdr:rowOff>
    </xdr:from>
    <xdr:to>
      <xdr:col>16</xdr:col>
      <xdr:colOff>470425</xdr:colOff>
      <xdr:row>24</xdr:row>
      <xdr:rowOff>114318</xdr:rowOff>
    </xdr:to>
    <xdr:graphicFrame macro="">
      <xdr:nvGraphicFramePr>
        <xdr:cNvPr id="9" name="Chart 8">
          <a:extLst>
            <a:ext uri="{FF2B5EF4-FFF2-40B4-BE49-F238E27FC236}">
              <a16:creationId xmlns:a16="http://schemas.microsoft.com/office/drawing/2014/main" id="{79DA58FC-C3B5-4B85-82CB-AD10C80CF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213951</xdr:colOff>
      <xdr:row>7</xdr:row>
      <xdr:rowOff>67348</xdr:rowOff>
    </xdr:from>
    <xdr:to>
      <xdr:col>27</xdr:col>
      <xdr:colOff>279042</xdr:colOff>
      <xdr:row>25</xdr:row>
      <xdr:rowOff>53661</xdr:rowOff>
    </xdr:to>
    <xdr:graphicFrame macro="">
      <xdr:nvGraphicFramePr>
        <xdr:cNvPr id="10" name="Chart 9">
          <a:extLst>
            <a:ext uri="{FF2B5EF4-FFF2-40B4-BE49-F238E27FC236}">
              <a16:creationId xmlns:a16="http://schemas.microsoft.com/office/drawing/2014/main" id="{561982FB-ECEE-4FC7-82A5-38839E0E5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407830</xdr:colOff>
      <xdr:row>27</xdr:row>
      <xdr:rowOff>53663</xdr:rowOff>
    </xdr:from>
    <xdr:to>
      <xdr:col>14</xdr:col>
      <xdr:colOff>654676</xdr:colOff>
      <xdr:row>40</xdr:row>
      <xdr:rowOff>160987</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9BD7C6CB-7624-4A29-B650-A2BEC6946FB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061915" y="4690057"/>
              <a:ext cx="2908479" cy="2339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171720</xdr:colOff>
      <xdr:row>27</xdr:row>
      <xdr:rowOff>118056</xdr:rowOff>
    </xdr:from>
    <xdr:to>
      <xdr:col>25</xdr:col>
      <xdr:colOff>343438</xdr:colOff>
      <xdr:row>40</xdr:row>
      <xdr:rowOff>150253</xdr:rowOff>
    </xdr:to>
    <mc:AlternateContent xmlns:mc="http://schemas.openxmlformats.org/markup-compatibility/2006">
      <mc:Choice xmlns:a14="http://schemas.microsoft.com/office/drawing/2010/main" Requires="a14">
        <xdr:graphicFrame macro="">
          <xdr:nvGraphicFramePr>
            <xdr:cNvPr id="12" name="Salesperson 1">
              <a:extLst>
                <a:ext uri="{FF2B5EF4-FFF2-40B4-BE49-F238E27FC236}">
                  <a16:creationId xmlns:a16="http://schemas.microsoft.com/office/drawing/2014/main" id="{A7BBCFF2-C4C5-4304-8EDB-938E8B5BF27C}"/>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14145297" y="4754450"/>
              <a:ext cx="2833352" cy="2264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391733</xdr:colOff>
      <xdr:row>7</xdr:row>
      <xdr:rowOff>155707</xdr:rowOff>
    </xdr:from>
    <xdr:to>
      <xdr:col>6</xdr:col>
      <xdr:colOff>288759</xdr:colOff>
      <xdr:row>17</xdr:row>
      <xdr:rowOff>160986</xdr:rowOff>
    </xdr:to>
    <xdr:sp macro="" textlink="">
      <xdr:nvSpPr>
        <xdr:cNvPr id="14" name="Flowchart: Alternate Process 13">
          <a:extLst>
            <a:ext uri="{FF2B5EF4-FFF2-40B4-BE49-F238E27FC236}">
              <a16:creationId xmlns:a16="http://schemas.microsoft.com/office/drawing/2014/main" id="{88062CDE-6CEE-ADC4-BC93-8DFAC7E7EEE2}"/>
            </a:ext>
          </a:extLst>
        </xdr:cNvPr>
        <xdr:cNvSpPr/>
      </xdr:nvSpPr>
      <xdr:spPr>
        <a:xfrm>
          <a:off x="1057141" y="1357735"/>
          <a:ext cx="3224069" cy="1722462"/>
        </a:xfrm>
        <a:prstGeom prst="flowChartAlternateProcess">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3200">
              <a:solidFill>
                <a:srgbClr val="7030A0"/>
              </a:solidFill>
            </a:rPr>
            <a:t>  TOTAL</a:t>
          </a:r>
          <a:r>
            <a:rPr lang="en-IN" sz="3200" baseline="0">
              <a:solidFill>
                <a:srgbClr val="7030A0"/>
              </a:solidFill>
            </a:rPr>
            <a:t> SALES</a:t>
          </a:r>
          <a:endParaRPr lang="en-IN" sz="3200">
            <a:solidFill>
              <a:srgbClr val="7030A0"/>
            </a:solidFill>
          </a:endParaRPr>
        </a:p>
      </xdr:txBody>
    </xdr:sp>
    <xdr:clientData/>
  </xdr:twoCellAnchor>
  <xdr:twoCellAnchor>
    <xdr:from>
      <xdr:col>1</xdr:col>
      <xdr:colOff>370704</xdr:colOff>
      <xdr:row>19</xdr:row>
      <xdr:rowOff>143937</xdr:rowOff>
    </xdr:from>
    <xdr:to>
      <xdr:col>6</xdr:col>
      <xdr:colOff>278027</xdr:colOff>
      <xdr:row>29</xdr:row>
      <xdr:rowOff>118055</xdr:rowOff>
    </xdr:to>
    <xdr:sp macro="" textlink="">
      <xdr:nvSpPr>
        <xdr:cNvPr id="15" name="Flowchart: Alternate Process 14">
          <a:extLst>
            <a:ext uri="{FF2B5EF4-FFF2-40B4-BE49-F238E27FC236}">
              <a16:creationId xmlns:a16="http://schemas.microsoft.com/office/drawing/2014/main" id="{5094EC30-8ACA-5026-A202-EA22AB46D7DB}"/>
            </a:ext>
          </a:extLst>
        </xdr:cNvPr>
        <xdr:cNvSpPr/>
      </xdr:nvSpPr>
      <xdr:spPr>
        <a:xfrm>
          <a:off x="1036112" y="3406585"/>
          <a:ext cx="3234366" cy="1691301"/>
        </a:xfrm>
        <a:prstGeom prst="flowChartAlternateProcess">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3200">
              <a:solidFill>
                <a:srgbClr val="7030A0"/>
              </a:solidFill>
            </a:rPr>
            <a:t>   TOTAL</a:t>
          </a:r>
          <a:r>
            <a:rPr lang="en-IN" sz="3200" baseline="0">
              <a:solidFill>
                <a:srgbClr val="7030A0"/>
              </a:solidFill>
            </a:rPr>
            <a:t> UNITS</a:t>
          </a:r>
          <a:endParaRPr lang="en-IN" sz="3200">
            <a:solidFill>
              <a:srgbClr val="7030A0"/>
            </a:solidFill>
          </a:endParaRPr>
        </a:p>
      </xdr:txBody>
    </xdr:sp>
    <xdr:clientData/>
  </xdr:twoCellAnchor>
  <xdr:twoCellAnchor>
    <xdr:from>
      <xdr:col>1</xdr:col>
      <xdr:colOff>389558</xdr:colOff>
      <xdr:row>32</xdr:row>
      <xdr:rowOff>20159</xdr:rowOff>
    </xdr:from>
    <xdr:to>
      <xdr:col>6</xdr:col>
      <xdr:colOff>214504</xdr:colOff>
      <xdr:row>42</xdr:row>
      <xdr:rowOff>85859</xdr:rowOff>
    </xdr:to>
    <xdr:sp macro="" textlink="">
      <xdr:nvSpPr>
        <xdr:cNvPr id="16" name="Flowchart: Alternate Process 15">
          <a:extLst>
            <a:ext uri="{FF2B5EF4-FFF2-40B4-BE49-F238E27FC236}">
              <a16:creationId xmlns:a16="http://schemas.microsoft.com/office/drawing/2014/main" id="{3810C5B8-F1B6-08F1-CD21-23E218DE8988}"/>
            </a:ext>
          </a:extLst>
        </xdr:cNvPr>
        <xdr:cNvSpPr/>
      </xdr:nvSpPr>
      <xdr:spPr>
        <a:xfrm>
          <a:off x="1054966" y="5515145"/>
          <a:ext cx="3151989" cy="1782883"/>
        </a:xfrm>
        <a:prstGeom prst="flowChartAlternateProcess">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2400">
              <a:solidFill>
                <a:srgbClr val="7030A0"/>
              </a:solidFill>
            </a:rPr>
            <a:t> BEST</a:t>
          </a:r>
          <a:r>
            <a:rPr lang="en-IN" sz="2400" baseline="0">
              <a:solidFill>
                <a:srgbClr val="7030A0"/>
              </a:solidFill>
            </a:rPr>
            <a:t> </a:t>
          </a:r>
          <a:r>
            <a:rPr lang="en-IN" sz="2400">
              <a:solidFill>
                <a:srgbClr val="7030A0"/>
              </a:solidFill>
            </a:rPr>
            <a:t>SALE</a:t>
          </a:r>
          <a:r>
            <a:rPr lang="en-IN" sz="2400" baseline="0">
              <a:solidFill>
                <a:srgbClr val="7030A0"/>
              </a:solidFill>
            </a:rPr>
            <a:t>PERSON</a:t>
          </a:r>
          <a:endParaRPr lang="en-IN" sz="2400">
            <a:solidFill>
              <a:srgbClr val="7030A0"/>
            </a:solidFill>
          </a:endParaRPr>
        </a:p>
      </xdr:txBody>
    </xdr:sp>
    <xdr:clientData/>
  </xdr:twoCellAnchor>
  <xdr:twoCellAnchor>
    <xdr:from>
      <xdr:col>2</xdr:col>
      <xdr:colOff>96593</xdr:colOff>
      <xdr:row>12</xdr:row>
      <xdr:rowOff>160986</xdr:rowOff>
    </xdr:from>
    <xdr:to>
      <xdr:col>5</xdr:col>
      <xdr:colOff>515157</xdr:colOff>
      <xdr:row>16</xdr:row>
      <xdr:rowOff>42929</xdr:rowOff>
    </xdr:to>
    <xdr:sp macro="" textlink="">
      <xdr:nvSpPr>
        <xdr:cNvPr id="21" name="Rectangle: Rounded Corners 20">
          <a:extLst>
            <a:ext uri="{FF2B5EF4-FFF2-40B4-BE49-F238E27FC236}">
              <a16:creationId xmlns:a16="http://schemas.microsoft.com/office/drawing/2014/main" id="{953399F4-AA29-3142-3A9F-54FC7B75F6FD}"/>
            </a:ext>
          </a:extLst>
        </xdr:cNvPr>
        <xdr:cNvSpPr/>
      </xdr:nvSpPr>
      <xdr:spPr>
        <a:xfrm>
          <a:off x="1427410" y="2221606"/>
          <a:ext cx="2414789" cy="568816"/>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2400"/>
            <a:t>       1018274</a:t>
          </a:r>
        </a:p>
      </xdr:txBody>
    </xdr:sp>
    <xdr:clientData/>
  </xdr:twoCellAnchor>
  <xdr:twoCellAnchor>
    <xdr:from>
      <xdr:col>2</xdr:col>
      <xdr:colOff>117042</xdr:colOff>
      <xdr:row>24</xdr:row>
      <xdr:rowOff>89261</xdr:rowOff>
    </xdr:from>
    <xdr:to>
      <xdr:col>5</xdr:col>
      <xdr:colOff>535606</xdr:colOff>
      <xdr:row>27</xdr:row>
      <xdr:rowOff>107324</xdr:rowOff>
    </xdr:to>
    <xdr:sp macro="" textlink="">
      <xdr:nvSpPr>
        <xdr:cNvPr id="22" name="Rectangle: Rounded Corners 21">
          <a:extLst>
            <a:ext uri="{FF2B5EF4-FFF2-40B4-BE49-F238E27FC236}">
              <a16:creationId xmlns:a16="http://schemas.microsoft.com/office/drawing/2014/main" id="{2D8F0A06-01F3-4104-9983-D1645F613AA6}"/>
            </a:ext>
          </a:extLst>
        </xdr:cNvPr>
        <xdr:cNvSpPr/>
      </xdr:nvSpPr>
      <xdr:spPr>
        <a:xfrm>
          <a:off x="1447859" y="4210500"/>
          <a:ext cx="2414789" cy="533218"/>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2000"/>
            <a:t>           </a:t>
          </a:r>
          <a:r>
            <a:rPr lang="en-IN" sz="2400"/>
            <a:t>116</a:t>
          </a:r>
          <a:endParaRPr lang="en-IN" sz="1100"/>
        </a:p>
      </xdr:txBody>
    </xdr:sp>
    <xdr:clientData/>
  </xdr:twoCellAnchor>
  <xdr:twoCellAnchor>
    <xdr:from>
      <xdr:col>2</xdr:col>
      <xdr:colOff>185643</xdr:colOff>
      <xdr:row>36</xdr:row>
      <xdr:rowOff>160986</xdr:rowOff>
    </xdr:from>
    <xdr:to>
      <xdr:col>5</xdr:col>
      <xdr:colOff>611747</xdr:colOff>
      <xdr:row>39</xdr:row>
      <xdr:rowOff>160986</xdr:rowOff>
    </xdr:to>
    <xdr:sp macro="" textlink="">
      <xdr:nvSpPr>
        <xdr:cNvPr id="23" name="Rectangle: Rounded Corners 22">
          <a:extLst>
            <a:ext uri="{FF2B5EF4-FFF2-40B4-BE49-F238E27FC236}">
              <a16:creationId xmlns:a16="http://schemas.microsoft.com/office/drawing/2014/main" id="{8F9D21D9-1B59-47A9-B441-45A9047561ED}"/>
            </a:ext>
          </a:extLst>
        </xdr:cNvPr>
        <xdr:cNvSpPr/>
      </xdr:nvSpPr>
      <xdr:spPr>
        <a:xfrm>
          <a:off x="1516460" y="6342845"/>
          <a:ext cx="2422329" cy="51515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2000"/>
            <a:t>         </a:t>
          </a:r>
          <a:r>
            <a:rPr lang="en-IN" sz="2800"/>
            <a:t>Amit</a:t>
          </a:r>
          <a:endParaRPr lang="en-IN" sz="20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itha" refreshedDate="46200.434392361109" createdVersion="8" refreshedVersion="8" minRefreshableVersion="3" recordCount="20" xr:uid="{5CFDA315-642A-4D22-8CBE-30405E597C87}">
  <cacheSource type="worksheet">
    <worksheetSource name="Table1"/>
  </cacheSource>
  <cacheFields count="16">
    <cacheField name="Order ID" numFmtId="0">
      <sharedItems containsSemiMixedTypes="0" containsString="0" containsNumber="1" containsInteger="1" minValue="1001" maxValue="1020"/>
    </cacheField>
    <cacheField name="Date" numFmtId="15">
      <sharedItems containsSemiMixedTypes="0" containsNonDate="0" containsDate="1" containsString="0" minDate="2025-01-01T00:00:00" maxDate="2025-01-21T00:00:00"/>
    </cacheField>
    <cacheField name="Region" numFmtId="0">
      <sharedItems count="4">
        <s v="North"/>
        <s v="South"/>
        <s v="East"/>
        <s v="West"/>
      </sharedItems>
    </cacheField>
    <cacheField name="Salesperson" numFmtId="0">
      <sharedItems count="4">
        <s v="Rahul"/>
        <s v="Priya"/>
        <s v="Amit"/>
        <s v="Sneha"/>
      </sharedItems>
    </cacheField>
    <cacheField name="Product" numFmtId="0">
      <sharedItems/>
    </cacheField>
    <cacheField name="Category" numFmtId="0">
      <sharedItems count="2">
        <s v="Electronics"/>
        <s v="Accessories"/>
      </sharedItems>
    </cacheField>
    <cacheField name="Units" numFmtId="0">
      <sharedItems containsSemiMixedTypes="0" containsString="0" containsNumber="1" containsInteger="1" minValue="1" maxValue="25"/>
    </cacheField>
    <cacheField name="Unit Price" numFmtId="0">
      <sharedItems containsSemiMixedTypes="0" containsString="0" containsNumber="1" containsInteger="1" minValue="600" maxValue="55000"/>
    </cacheField>
    <cacheField name="Discount %" numFmtId="0">
      <sharedItems containsSemiMixedTypes="0" containsString="0" containsNumber="1" containsInteger="1" minValue="0" maxValue="20"/>
    </cacheField>
    <cacheField name="Gross Sales" numFmtId="0">
      <sharedItems containsSemiMixedTypes="0" containsString="0" containsNumber="1" containsInteger="1" minValue="4800" maxValue="220000"/>
    </cacheField>
    <cacheField name="Net Sales" numFmtId="0">
      <sharedItems containsSemiMixedTypes="0" containsString="0" containsNumber="1" containsInteger="1" minValue="4790" maxValue="219992"/>
    </cacheField>
    <cacheField name="Discount Amount" numFmtId="0">
      <sharedItems containsSemiMixedTypes="0" containsString="0" containsNumber="1" containsInteger="1" minValue="0" maxValue="1760000"/>
    </cacheField>
    <cacheField name="Preformance" numFmtId="0">
      <sharedItems/>
    </cacheField>
    <cacheField name="Monthly Target" numFmtId="0">
      <sharedItems containsSemiMixedTypes="0" containsString="0" containsNumber="1" containsInteger="1" minValue="300000" maxValue="350000"/>
    </cacheField>
    <cacheField name="Achievement %" numFmtId="0">
      <sharedItems containsSemiMixedTypes="0" containsString="0" containsNumber="1" minValue="1.5966666666666667E-2" maxValue="0.68747499999999995"/>
    </cacheField>
    <cacheField name="Status" numFmtId="0">
      <sharedItems/>
    </cacheField>
  </cacheFields>
  <extLst>
    <ext xmlns:x14="http://schemas.microsoft.com/office/spreadsheetml/2009/9/main" uri="{725AE2AE-9491-48be-B2B4-4EB974FC3084}">
      <x14:pivotCacheDefinition pivotCacheId="1127579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d v="2025-01-01T00:00:00"/>
    <x v="0"/>
    <x v="0"/>
    <s v="Laptop"/>
    <x v="0"/>
    <n v="2"/>
    <n v="55000"/>
    <n v="5"/>
    <n v="110000"/>
    <n v="109995"/>
    <n v="550000"/>
    <s v="Excellent"/>
    <n v="350000"/>
    <n v="0.31427142857142859"/>
    <s v="Pending"/>
  </r>
  <r>
    <n v="1002"/>
    <d v="2025-01-02T00:00:00"/>
    <x v="1"/>
    <x v="1"/>
    <s v="Mouse"/>
    <x v="1"/>
    <n v="10"/>
    <n v="600"/>
    <n v="10"/>
    <n v="6000"/>
    <n v="5990"/>
    <n v="60000"/>
    <s v="Average"/>
    <n v="300000"/>
    <n v="1.9966666666666667E-2"/>
    <s v="Pending"/>
  </r>
  <r>
    <n v="1003"/>
    <d v="2025-01-03T00:00:00"/>
    <x v="2"/>
    <x v="2"/>
    <s v="Keyboard"/>
    <x v="1"/>
    <n v="6"/>
    <n v="1200"/>
    <n v="5"/>
    <n v="7200"/>
    <n v="7195"/>
    <n v="36000"/>
    <s v="Average"/>
    <n v="320000"/>
    <n v="2.2484375000000001E-2"/>
    <s v="Pending"/>
  </r>
  <r>
    <n v="1004"/>
    <d v="2025-01-04T00:00:00"/>
    <x v="3"/>
    <x v="3"/>
    <s v="Monitor"/>
    <x v="0"/>
    <n v="3"/>
    <n v="18000"/>
    <n v="8"/>
    <n v="54000"/>
    <n v="53992"/>
    <n v="432000"/>
    <s v="Good"/>
    <n v="340000"/>
    <n v="0.1588"/>
    <s v="Pending"/>
  </r>
  <r>
    <n v="1005"/>
    <d v="2025-01-05T00:00:00"/>
    <x v="0"/>
    <x v="0"/>
    <s v="Laptop"/>
    <x v="0"/>
    <n v="1"/>
    <n v="55000"/>
    <n v="0"/>
    <n v="55000"/>
    <n v="55000"/>
    <n v="0"/>
    <s v="Good"/>
    <n v="350000"/>
    <n v="0.15714285714285714"/>
    <s v="Pending"/>
  </r>
  <r>
    <n v="1006"/>
    <d v="2025-01-06T00:00:00"/>
    <x v="1"/>
    <x v="1"/>
    <s v="Monitor"/>
    <x v="0"/>
    <n v="2"/>
    <n v="18000"/>
    <n v="5"/>
    <n v="36000"/>
    <n v="35995"/>
    <n v="180000"/>
    <s v="Average"/>
    <n v="300000"/>
    <n v="0.11998333333333333"/>
    <s v="Pending"/>
  </r>
  <r>
    <n v="1007"/>
    <d v="2025-01-07T00:00:00"/>
    <x v="2"/>
    <x v="2"/>
    <s v="Mouse"/>
    <x v="1"/>
    <n v="15"/>
    <n v="600"/>
    <n v="15"/>
    <n v="9000"/>
    <n v="8985"/>
    <n v="135000"/>
    <s v="Average"/>
    <n v="320000"/>
    <n v="2.8078124999999999E-2"/>
    <s v="Pending"/>
  </r>
  <r>
    <n v="1008"/>
    <d v="2025-01-08T00:00:00"/>
    <x v="3"/>
    <x v="3"/>
    <s v="Laptop"/>
    <x v="0"/>
    <n v="2"/>
    <n v="55000"/>
    <n v="10"/>
    <n v="110000"/>
    <n v="109990"/>
    <n v="1100000"/>
    <s v="Excellent"/>
    <n v="340000"/>
    <n v="0.32350000000000001"/>
    <s v="Pending"/>
  </r>
  <r>
    <n v="1009"/>
    <d v="2025-01-09T00:00:00"/>
    <x v="0"/>
    <x v="0"/>
    <s v="Keyboard"/>
    <x v="1"/>
    <n v="5"/>
    <n v="1200"/>
    <n v="0"/>
    <n v="6000"/>
    <n v="6000"/>
    <n v="0"/>
    <s v="Average"/>
    <n v="350000"/>
    <n v="1.7142857142857144E-2"/>
    <s v="Pending"/>
  </r>
  <r>
    <n v="1010"/>
    <d v="2025-01-10T00:00:00"/>
    <x v="1"/>
    <x v="1"/>
    <s v="Laptop"/>
    <x v="0"/>
    <n v="3"/>
    <n v="55000"/>
    <n v="5"/>
    <n v="165000"/>
    <n v="164995"/>
    <n v="825000"/>
    <s v="Excellent"/>
    <n v="300000"/>
    <n v="0.54998333333333338"/>
    <s v="Pending"/>
  </r>
  <r>
    <n v="1011"/>
    <d v="2025-01-11T00:00:00"/>
    <x v="2"/>
    <x v="2"/>
    <s v="Monitor"/>
    <x v="0"/>
    <n v="1"/>
    <n v="18000"/>
    <n v="0"/>
    <n v="18000"/>
    <n v="18000"/>
    <n v="0"/>
    <s v="Average"/>
    <n v="320000"/>
    <n v="5.6250000000000001E-2"/>
    <s v="Pending"/>
  </r>
  <r>
    <n v="1012"/>
    <d v="2025-01-12T00:00:00"/>
    <x v="3"/>
    <x v="3"/>
    <s v="Mouse"/>
    <x v="1"/>
    <n v="20"/>
    <n v="600"/>
    <n v="20"/>
    <n v="12000"/>
    <n v="11980"/>
    <n v="240000"/>
    <s v="Average"/>
    <n v="340000"/>
    <n v="3.5235294117647059E-2"/>
    <s v="Pending"/>
  </r>
  <r>
    <n v="1013"/>
    <d v="2025-01-13T00:00:00"/>
    <x v="0"/>
    <x v="0"/>
    <s v="Monitor"/>
    <x v="0"/>
    <n v="2"/>
    <n v="18000"/>
    <n v="5"/>
    <n v="36000"/>
    <n v="35995"/>
    <n v="180000"/>
    <s v="Average"/>
    <n v="350000"/>
    <n v="0.10284285714285714"/>
    <s v="Pending"/>
  </r>
  <r>
    <n v="1014"/>
    <d v="2025-01-14T00:00:00"/>
    <x v="1"/>
    <x v="1"/>
    <s v="Keyboard"/>
    <x v="1"/>
    <n v="4"/>
    <n v="1200"/>
    <n v="10"/>
    <n v="4800"/>
    <n v="4790"/>
    <n v="48000"/>
    <s v="Average"/>
    <n v="300000"/>
    <n v="1.5966666666666667E-2"/>
    <s v="Pending"/>
  </r>
  <r>
    <n v="1015"/>
    <d v="2025-01-15T00:00:00"/>
    <x v="2"/>
    <x v="2"/>
    <s v="Laptop"/>
    <x v="0"/>
    <n v="1"/>
    <n v="55000"/>
    <n v="5"/>
    <n v="55000"/>
    <n v="54995"/>
    <n v="275000"/>
    <s v="Good"/>
    <n v="320000"/>
    <n v="0.17185937500000001"/>
    <s v="Pending"/>
  </r>
  <r>
    <n v="1016"/>
    <d v="2025-01-16T00:00:00"/>
    <x v="3"/>
    <x v="3"/>
    <s v="Keyboard"/>
    <x v="1"/>
    <n v="7"/>
    <n v="1200"/>
    <n v="0"/>
    <n v="8400"/>
    <n v="8400"/>
    <n v="0"/>
    <s v="Average"/>
    <n v="340000"/>
    <n v="2.4705882352941175E-2"/>
    <s v="Pending"/>
  </r>
  <r>
    <n v="1017"/>
    <d v="2025-01-17T00:00:00"/>
    <x v="0"/>
    <x v="0"/>
    <s v="Mouse"/>
    <x v="1"/>
    <n v="25"/>
    <n v="600"/>
    <n v="10"/>
    <n v="15000"/>
    <n v="14990"/>
    <n v="150000"/>
    <s v="Average"/>
    <n v="350000"/>
    <n v="4.2828571428571431E-2"/>
    <s v="Pending"/>
  </r>
  <r>
    <n v="1018"/>
    <d v="2025-01-18T00:00:00"/>
    <x v="1"/>
    <x v="1"/>
    <s v="Monitor"/>
    <x v="0"/>
    <n v="2"/>
    <n v="18000"/>
    <n v="5"/>
    <n v="36000"/>
    <n v="35995"/>
    <n v="180000"/>
    <s v="Average"/>
    <n v="300000"/>
    <n v="0.11998333333333333"/>
    <s v="Pending"/>
  </r>
  <r>
    <n v="1019"/>
    <d v="2025-01-19T00:00:00"/>
    <x v="2"/>
    <x v="2"/>
    <s v="Laptop"/>
    <x v="0"/>
    <n v="4"/>
    <n v="55000"/>
    <n v="8"/>
    <n v="220000"/>
    <n v="219992"/>
    <n v="1760000"/>
    <s v="Excellent"/>
    <n v="320000"/>
    <n v="0.68747499999999995"/>
    <s v="Pending"/>
  </r>
  <r>
    <n v="1020"/>
    <d v="2025-01-20T00:00:00"/>
    <x v="3"/>
    <x v="3"/>
    <s v="Laptop"/>
    <x v="0"/>
    <n v="1"/>
    <n v="55000"/>
    <n v="0"/>
    <n v="55000"/>
    <n v="55000"/>
    <n v="0"/>
    <s v="Good"/>
    <n v="340000"/>
    <n v="0.16176470588235295"/>
    <s v="Pend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86EA30-B8E4-40AE-8142-5597C40DC22E}"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1" firstDataRow="2" firstDataCol="1"/>
  <pivotFields count="16">
    <pivotField showAll="0"/>
    <pivotField numFmtId="15" showAll="0"/>
    <pivotField showAll="0">
      <items count="5">
        <item x="2"/>
        <item x="0"/>
        <item x="1"/>
        <item x="3"/>
        <item t="default"/>
      </items>
    </pivotField>
    <pivotField axis="axisRow" showAll="0">
      <items count="5">
        <item x="2"/>
        <item x="1"/>
        <item x="0"/>
        <item x="3"/>
        <item t="default"/>
      </items>
    </pivotField>
    <pivotField showAll="0"/>
    <pivotField axis="axisCol"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pivotFields>
  <rowFields count="1">
    <field x="3"/>
  </rowFields>
  <rowItems count="5">
    <i>
      <x/>
    </i>
    <i>
      <x v="1"/>
    </i>
    <i>
      <x v="2"/>
    </i>
    <i>
      <x v="3"/>
    </i>
    <i t="grand">
      <x/>
    </i>
  </rowItems>
  <colFields count="1">
    <field x="5"/>
  </colFields>
  <colItems count="3">
    <i>
      <x/>
    </i>
    <i>
      <x v="1"/>
    </i>
    <i t="grand">
      <x/>
    </i>
  </colItems>
  <dataFields count="1">
    <dataField name="Sum of Net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501CA7-1FD0-4D60-B8A5-787ACC7CAFE0}"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6">
    <pivotField showAll="0"/>
    <pivotField numFmtId="15" showAll="0"/>
    <pivotField axis="axisRow" showAll="0">
      <items count="5">
        <item x="2"/>
        <item x="0"/>
        <item x="1"/>
        <item x="3"/>
        <item t="default"/>
      </items>
    </pivotField>
    <pivotField showAll="0">
      <items count="5">
        <item x="2"/>
        <item x="1"/>
        <item x="0"/>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Sum of Net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1C9AD8-782D-42A9-8C7E-1965270B767A}"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6">
    <pivotField showAll="0"/>
    <pivotField numFmtId="15" showAll="0"/>
    <pivotField showAll="0">
      <items count="5">
        <item x="2"/>
        <item x="0"/>
        <item x="1"/>
        <item x="3"/>
        <item t="default"/>
      </items>
    </pivotField>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5">
    <i>
      <x/>
    </i>
    <i>
      <x v="1"/>
    </i>
    <i>
      <x v="3"/>
    </i>
    <i>
      <x v="2"/>
    </i>
    <i t="grand">
      <x/>
    </i>
  </rowItems>
  <colItems count="1">
    <i/>
  </colItems>
  <dataFields count="1">
    <dataField name="Sum of Net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B09657-01FB-4CFF-BDC4-110B58076930}"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6">
    <pivotField showAll="0"/>
    <pivotField numFmtId="15" showAll="0"/>
    <pivotField axis="axisRow" showAll="0">
      <items count="5">
        <item x="2"/>
        <item x="0"/>
        <item x="1"/>
        <item x="3"/>
        <item t="default"/>
      </items>
    </pivotField>
    <pivotField showAll="0">
      <items count="5">
        <item x="2"/>
        <item x="1"/>
        <item x="0"/>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Sum of Net Sales" fld="10" baseField="0" baseItem="0"/>
  </dataFields>
  <chartFormats count="5">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1"/>
          </reference>
        </references>
      </pivotArea>
    </chartFormat>
    <chartFormat chart="7" format="6">
      <pivotArea type="data" outline="0" fieldPosition="0">
        <references count="2">
          <reference field="4294967294" count="1" selected="0">
            <x v="0"/>
          </reference>
          <reference field="2" count="1" selected="0">
            <x v="0"/>
          </reference>
        </references>
      </pivotArea>
    </chartFormat>
    <chartFormat chart="7" format="7">
      <pivotArea type="data" outline="0" fieldPosition="0">
        <references count="2">
          <reference field="4294967294" count="1" selected="0">
            <x v="0"/>
          </reference>
          <reference field="2" count="1" selected="0">
            <x v="2"/>
          </reference>
        </references>
      </pivotArea>
    </chartFormat>
    <chartFormat chart="7" format="8">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719A84-9588-4170-9E83-9FF9103F120B}"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16">
    <pivotField showAll="0"/>
    <pivotField numFmtId="15" showAll="0"/>
    <pivotField showAll="0">
      <items count="5">
        <item x="2"/>
        <item x="0"/>
        <item x="1"/>
        <item x="3"/>
        <item t="default"/>
      </items>
    </pivotField>
    <pivotField showAll="0">
      <items count="5">
        <item x="2"/>
        <item x="1"/>
        <item x="0"/>
        <item x="3"/>
        <item t="default"/>
      </items>
    </pivotField>
    <pivotField showAll="0"/>
    <pivotField axis="axisRow"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pivotFields>
  <rowFields count="1">
    <field x="5"/>
  </rowFields>
  <rowItems count="3">
    <i>
      <x/>
    </i>
    <i>
      <x v="1"/>
    </i>
    <i t="grand">
      <x/>
    </i>
  </rowItems>
  <colItems count="1">
    <i/>
  </colItems>
  <dataFields count="1">
    <dataField name="Sum of Net Sales" fld="10" baseField="0" baseItem="0"/>
  </dataFields>
  <chartFormats count="3">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5" count="1" selected="0">
            <x v="0"/>
          </reference>
        </references>
      </pivotArea>
    </chartFormat>
    <chartFormat chart="7"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75B80C-BF59-40AE-AF21-F4F81D0C6FA2}" sourceName="Region">
  <pivotTables>
    <pivotTable tabId="5" name="PivotTable3"/>
    <pivotTable tabId="7" name="PivotTable6"/>
    <pivotTable tabId="2" name="PivotTable1"/>
    <pivotTable tabId="3" name="PivotTable2"/>
    <pivotTable tabId="6" name="PivotTable5"/>
  </pivotTables>
  <data>
    <tabular pivotCacheId="1127579494">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40668093-C723-4C19-9E67-869FC10338FD}" sourceName="Salesperson">
  <pivotTables>
    <pivotTable tabId="5" name="PivotTable3"/>
    <pivotTable tabId="7" name="PivotTable6"/>
    <pivotTable tabId="2" name="PivotTable1"/>
    <pivotTable tabId="3" name="PivotTable2"/>
    <pivotTable tabId="6" name="PivotTable5"/>
  </pivotTables>
  <data>
    <tabular pivotCacheId="1127579494">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1F76A5A-A8F3-4AEA-BCD9-45AED519F048}" cache="Slicer_Region" caption="Region" rowHeight="247650"/>
  <slicer name="Salesperson 1" xr10:uid="{E6918484-8F43-4F6F-8D78-32C4D5B3F72C}" cache="Slicer_Salesperson" caption="Salespers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3F634D-5C0C-4B1B-99BC-FF95DEBF2C50}" name="Table1" displayName="Table1" ref="A1:P21" totalsRowShown="0" headerRowDxfId="11">
  <autoFilter ref="A1:P21" xr:uid="{373F634D-5C0C-4B1B-99BC-FF95DEBF2C50}"/>
  <tableColumns count="16">
    <tableColumn id="1" xr3:uid="{B584FB2F-61C2-4F52-AFE9-65256F23A149}" name="Order ID"/>
    <tableColumn id="2" xr3:uid="{2794E4A2-1D6C-4C98-9F1A-DC7ED60748D9}" name="Date" dataDxfId="12"/>
    <tableColumn id="3" xr3:uid="{5BA032DA-77BB-4424-870C-65FED39C54A9}" name="Region"/>
    <tableColumn id="4" xr3:uid="{20DEBA1E-49EC-4797-A5FD-7F73CECB5247}" name="Salesperson"/>
    <tableColumn id="5" xr3:uid="{5CF0E29B-67FE-440C-94D1-A8A1C8E016D3}" name="Product"/>
    <tableColumn id="6" xr3:uid="{BB2877FA-6698-4DDE-AE60-BE42CDF681AF}" name="Category"/>
    <tableColumn id="7" xr3:uid="{4D0D5068-3C6E-4D7F-AAC5-D1895CD5959E}" name="Units"/>
    <tableColumn id="8" xr3:uid="{F9F3DFA1-B543-4512-A076-E1C56697AE7A}" name="Unit Price"/>
    <tableColumn id="9" xr3:uid="{60EC1E57-7DA6-4C8D-8124-C3C902FAB4C8}" name="Discount %"/>
    <tableColumn id="10" xr3:uid="{92F0C92A-DBDE-41BA-B7B1-CB0C8950AAA9}" name="Gross Sales" dataDxfId="10">
      <calculatedColumnFormula>Table1[[#This Row],[Units]]*Table1[[#This Row],[Unit Price]]</calculatedColumnFormula>
    </tableColumn>
    <tableColumn id="11" xr3:uid="{53E585D4-4F7F-49F4-9A94-0D2D64B78125}" name="Net Sales" dataDxfId="9">
      <calculatedColumnFormula>Table1[[#This Row],[Gross Sales]]-Table1[[#This Row],[Discount %]]</calculatedColumnFormula>
    </tableColumn>
    <tableColumn id="12" xr3:uid="{43A8E2BE-4E13-4457-BDE8-C34E3114753A}" name="Discount Amount" dataDxfId="8">
      <calculatedColumnFormula>Table1[[#This Row],[Gross Sales]]*Table1[[#This Row],[Discount %]]</calculatedColumnFormula>
    </tableColumn>
    <tableColumn id="13" xr3:uid="{67748525-8BFF-49F2-8F1A-DA0561D87E60}" name="Preformance" dataDxfId="7">
      <calculatedColumnFormula>IF(Table1[[#This Row],[Net Sales]]&gt;100000,"Excellent",IF(Table1[[#This Row],[Net Sales]]&gt;=50000,"Good",IF(Table1[[#This Row],[Net Sales]]&lt;50000,"Average")))</calculatedColumnFormula>
    </tableColumn>
    <tableColumn id="14" xr3:uid="{C21114DB-20F7-418F-8557-801D481939AF}" name="Monthly Target" dataDxfId="6">
      <calculatedColumnFormula>VLOOKUP(D2,$I$25:$J$29,2,FALSE)</calculatedColumnFormula>
    </tableColumn>
    <tableColumn id="15" xr3:uid="{B7F3DB8E-834D-4CE1-B1C4-69AC955BFE48}" name="Achievement %" dataDxfId="4">
      <calculatedColumnFormula>Table1[[#This Row],[Net Sales]]/Table1[[#This Row],[Monthly Target]]</calculatedColumnFormula>
    </tableColumn>
    <tableColumn id="16" xr3:uid="{CDF28450-34ED-47BA-900E-9AC9EA7841B5}" name="Status" dataDxfId="5">
      <calculatedColumnFormula>IF(Table1[[#This Row],[Achievement %]]&gt;=100%,"Completed","Pending")</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flection">
      <a:fillStyleLst>
        <a:solidFill>
          <a:schemeClr val="phClr"/>
        </a:solidFill>
        <a:gradFill rotWithShape="1">
          <a:gsLst>
            <a:gs pos="0">
              <a:schemeClr val="phClr">
                <a:tint val="50000"/>
                <a:alpha val="100000"/>
                <a:satMod val="140000"/>
                <a:lumMod val="105000"/>
              </a:schemeClr>
            </a:gs>
            <a:gs pos="41000">
              <a:schemeClr val="phClr">
                <a:tint val="57000"/>
                <a:satMod val="160000"/>
                <a:lumMod val="99000"/>
              </a:schemeClr>
            </a:gs>
            <a:gs pos="100000">
              <a:schemeClr val="phClr">
                <a:tint val="80000"/>
                <a:satMod val="180000"/>
                <a:lumMod val="104000"/>
              </a:schemeClr>
            </a:gs>
          </a:gsLst>
          <a:lin ang="5400000" scaled="1"/>
        </a:gradFill>
        <a:gradFill rotWithShape="1">
          <a:gsLst>
            <a:gs pos="0">
              <a:schemeClr val="phClr">
                <a:tint val="97000"/>
                <a:satMod val="115000"/>
                <a:lumMod val="114000"/>
              </a:schemeClr>
            </a:gs>
            <a:gs pos="60000">
              <a:schemeClr val="phClr">
                <a:tint val="100000"/>
                <a:shade val="96000"/>
                <a:satMod val="100000"/>
                <a:lumMod val="108000"/>
              </a:schemeClr>
            </a:gs>
            <a:gs pos="100000">
              <a:schemeClr val="phClr">
                <a:shade val="91000"/>
                <a:sat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38100" dist="25400" dir="5400000" rotWithShape="0">
              <a:srgbClr val="000000">
                <a:alpha val="28000"/>
              </a:srgbClr>
            </a:outerShdw>
          </a:effectLst>
        </a:effectStyle>
        <a:effectStyle>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a:effectStyle>
        <a:effectStyle>
          <a:effectLst>
            <a:reflection blurRad="25400" stA="32000" endPos="28000" dist="8889" dir="5400000" sy="-100000" rotWithShape="0"/>
          </a:effectLst>
          <a:scene3d>
            <a:camera prst="orthographicFront">
              <a:rot lat="0" lon="0" rev="0"/>
            </a:camera>
            <a:lightRig rig="threePt" dir="t">
              <a:rot lat="0" lon="0" rev="4800000"/>
            </a:lightRig>
          </a:scene3d>
          <a:sp3d>
            <a:bevelT w="50800" h="2540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CF1B6-5EA8-4FD3-9657-AEB4CEF37559}">
  <dimension ref="A1:P29"/>
  <sheetViews>
    <sheetView zoomScale="78" workbookViewId="0">
      <selection activeCell="P2" sqref="P2"/>
    </sheetView>
  </sheetViews>
  <sheetFormatPr defaultRowHeight="14.4" x14ac:dyDescent="0.25"/>
  <cols>
    <col min="1" max="1" width="23" customWidth="1"/>
    <col min="2" max="2" width="11.296875" customWidth="1"/>
    <col min="4" max="4" width="20.59765625" customWidth="1"/>
    <col min="5" max="5" width="9.3984375" customWidth="1"/>
    <col min="6" max="6" width="11.3984375" customWidth="1"/>
    <col min="7" max="7" width="7.09765625" customWidth="1"/>
    <col min="8" max="8" width="10.8984375" customWidth="1"/>
    <col min="9" max="9" width="17.796875" customWidth="1"/>
    <col min="10" max="10" width="15.3984375" customWidth="1"/>
    <col min="11" max="11" width="11.8984375" customWidth="1"/>
    <col min="12" max="12" width="14.8984375" customWidth="1"/>
    <col min="13" max="13" width="14.09765625" customWidth="1"/>
    <col min="15" max="15" width="15" customWidth="1"/>
  </cols>
  <sheetData>
    <row r="1" spans="1:16" ht="13.8" x14ac:dyDescent="0.25">
      <c r="A1" s="2" t="s">
        <v>0</v>
      </c>
      <c r="B1" s="2" t="s">
        <v>1</v>
      </c>
      <c r="C1" s="2" t="s">
        <v>2</v>
      </c>
      <c r="D1" s="2" t="s">
        <v>3</v>
      </c>
      <c r="E1" s="2" t="s">
        <v>4</v>
      </c>
      <c r="F1" s="2" t="s">
        <v>5</v>
      </c>
      <c r="G1" s="2" t="s">
        <v>6</v>
      </c>
      <c r="H1" s="2" t="s">
        <v>7</v>
      </c>
      <c r="I1" s="2" t="s">
        <v>8</v>
      </c>
      <c r="J1" s="2" t="s">
        <v>24</v>
      </c>
      <c r="K1" s="2" t="s">
        <v>25</v>
      </c>
      <c r="L1" s="2" t="s">
        <v>26</v>
      </c>
      <c r="M1" s="2" t="s">
        <v>27</v>
      </c>
      <c r="N1" s="2" t="s">
        <v>23</v>
      </c>
      <c r="O1" s="2" t="s">
        <v>36</v>
      </c>
      <c r="P1" s="2" t="s">
        <v>37</v>
      </c>
    </row>
    <row r="2" spans="1:16" ht="13.8" x14ac:dyDescent="0.25">
      <c r="A2">
        <v>1001</v>
      </c>
      <c r="B2" s="1">
        <v>45658</v>
      </c>
      <c r="C2" t="s">
        <v>9</v>
      </c>
      <c r="D2" t="s">
        <v>10</v>
      </c>
      <c r="E2" t="s">
        <v>11</v>
      </c>
      <c r="F2" t="s">
        <v>12</v>
      </c>
      <c r="G2">
        <v>2</v>
      </c>
      <c r="H2">
        <v>55000</v>
      </c>
      <c r="I2">
        <v>5</v>
      </c>
      <c r="J2">
        <f>Table1[[#This Row],[Units]]*Table1[[#This Row],[Unit Price]]</f>
        <v>110000</v>
      </c>
      <c r="K2">
        <f>Table1[[#This Row],[Gross Sales]]-Table1[[#This Row],[Discount %]]</f>
        <v>109995</v>
      </c>
      <c r="L2">
        <f>Table1[[#This Row],[Gross Sales]]*Table1[[#This Row],[Discount %]]</f>
        <v>550000</v>
      </c>
      <c r="M2" s="3" t="str">
        <f>IF(Table1[[#This Row],[Net Sales]]&gt;100000,"Excellent",IF(Table1[[#This Row],[Net Sales]]&gt;=50000,"Good",IF(Table1[[#This Row],[Net Sales]]&lt;50000,"Average")))</f>
        <v>Excellent</v>
      </c>
      <c r="N2" s="3">
        <f>VLOOKUP(D2,$I$25:$J$29,2,FALSE)</f>
        <v>350000</v>
      </c>
      <c r="O2" s="6">
        <f>Table1[[#This Row],[Net Sales]]/Table1[[#This Row],[Monthly Target]]</f>
        <v>0.31427142857142859</v>
      </c>
      <c r="P2" s="3" t="str">
        <f>IF(Table1[[#This Row],[Achievement %]]&gt;=100%,"Completed","Pending")</f>
        <v>Pending</v>
      </c>
    </row>
    <row r="3" spans="1:16" ht="13.8" x14ac:dyDescent="0.25">
      <c r="A3">
        <v>1002</v>
      </c>
      <c r="B3" s="1">
        <v>45659</v>
      </c>
      <c r="C3" t="s">
        <v>13</v>
      </c>
      <c r="D3" t="s">
        <v>14</v>
      </c>
      <c r="E3" t="s">
        <v>15</v>
      </c>
      <c r="F3" t="s">
        <v>16</v>
      </c>
      <c r="G3">
        <v>10</v>
      </c>
      <c r="H3">
        <v>600</v>
      </c>
      <c r="I3">
        <v>10</v>
      </c>
      <c r="J3">
        <f>Table1[[#This Row],[Units]]*Table1[[#This Row],[Unit Price]]</f>
        <v>6000</v>
      </c>
      <c r="K3">
        <f>Table1[[#This Row],[Gross Sales]]-Table1[[#This Row],[Discount %]]</f>
        <v>5990</v>
      </c>
      <c r="L3">
        <f>Table1[[#This Row],[Gross Sales]]*Table1[[#This Row],[Discount %]]</f>
        <v>60000</v>
      </c>
      <c r="M3" s="3" t="str">
        <f>IF(Table1[[#This Row],[Net Sales]]&gt;100000,"Excellent",IF(Table1[[#This Row],[Net Sales]]&gt;=50000,"Good",IF(Table1[[#This Row],[Net Sales]]&lt;50000,"Average")))</f>
        <v>Average</v>
      </c>
      <c r="N3" s="3">
        <f>VLOOKUP(D3,$I$25:$J$29,2,FALSE)</f>
        <v>300000</v>
      </c>
      <c r="O3" s="6">
        <f>Table1[[#This Row],[Net Sales]]/Table1[[#This Row],[Monthly Target]]</f>
        <v>1.9966666666666667E-2</v>
      </c>
      <c r="P3" s="3" t="str">
        <f>IF(Table1[[#This Row],[Achievement %]]&gt;=100%,"Completed","Pending")</f>
        <v>Pending</v>
      </c>
    </row>
    <row r="4" spans="1:16" ht="13.8" x14ac:dyDescent="0.25">
      <c r="A4">
        <v>1003</v>
      </c>
      <c r="B4" s="1">
        <v>45660</v>
      </c>
      <c r="C4" t="s">
        <v>17</v>
      </c>
      <c r="D4" t="s">
        <v>18</v>
      </c>
      <c r="E4" t="s">
        <v>19</v>
      </c>
      <c r="F4" t="s">
        <v>16</v>
      </c>
      <c r="G4">
        <v>6</v>
      </c>
      <c r="H4">
        <v>1200</v>
      </c>
      <c r="I4">
        <v>5</v>
      </c>
      <c r="J4">
        <f>Table1[[#This Row],[Units]]*Table1[[#This Row],[Unit Price]]</f>
        <v>7200</v>
      </c>
      <c r="K4">
        <f>Table1[[#This Row],[Gross Sales]]-Table1[[#This Row],[Discount %]]</f>
        <v>7195</v>
      </c>
      <c r="L4">
        <f>Table1[[#This Row],[Gross Sales]]*Table1[[#This Row],[Discount %]]</f>
        <v>36000</v>
      </c>
      <c r="M4" s="3" t="str">
        <f>IF(Table1[[#This Row],[Net Sales]]&gt;100000,"Excellent",IF(Table1[[#This Row],[Net Sales]]&gt;=50000,"Good",IF(Table1[[#This Row],[Net Sales]]&lt;50000,"Average")))</f>
        <v>Average</v>
      </c>
      <c r="N4" s="3">
        <f>VLOOKUP(D4,$I$25:$J$29,2,FALSE)</f>
        <v>320000</v>
      </c>
      <c r="O4" s="6">
        <f>Table1[[#This Row],[Net Sales]]/Table1[[#This Row],[Monthly Target]]</f>
        <v>2.2484375000000001E-2</v>
      </c>
      <c r="P4" s="3" t="str">
        <f>IF(Table1[[#This Row],[Achievement %]]&gt;=100%,"Completed","Pending")</f>
        <v>Pending</v>
      </c>
    </row>
    <row r="5" spans="1:16" ht="13.8" x14ac:dyDescent="0.25">
      <c r="A5">
        <v>1004</v>
      </c>
      <c r="B5" s="1">
        <v>45661</v>
      </c>
      <c r="C5" t="s">
        <v>20</v>
      </c>
      <c r="D5" t="s">
        <v>21</v>
      </c>
      <c r="E5" t="s">
        <v>22</v>
      </c>
      <c r="F5" t="s">
        <v>12</v>
      </c>
      <c r="G5">
        <v>3</v>
      </c>
      <c r="H5">
        <v>18000</v>
      </c>
      <c r="I5">
        <v>8</v>
      </c>
      <c r="J5">
        <f>Table1[[#This Row],[Units]]*Table1[[#This Row],[Unit Price]]</f>
        <v>54000</v>
      </c>
      <c r="K5">
        <f>Table1[[#This Row],[Gross Sales]]-Table1[[#This Row],[Discount %]]</f>
        <v>53992</v>
      </c>
      <c r="L5">
        <f>Table1[[#This Row],[Gross Sales]]*Table1[[#This Row],[Discount %]]</f>
        <v>432000</v>
      </c>
      <c r="M5" s="3" t="str">
        <f>IF(Table1[[#This Row],[Net Sales]]&gt;100000,"Excellent",IF(Table1[[#This Row],[Net Sales]]&gt;=50000,"Good",IF(Table1[[#This Row],[Net Sales]]&lt;50000,"Average")))</f>
        <v>Good</v>
      </c>
      <c r="N5" s="3">
        <f>VLOOKUP(D5,$I$25:$J$29,2,FALSE)</f>
        <v>340000</v>
      </c>
      <c r="O5" s="6">
        <f>Table1[[#This Row],[Net Sales]]/Table1[[#This Row],[Monthly Target]]</f>
        <v>0.1588</v>
      </c>
      <c r="P5" s="3" t="str">
        <f>IF(Table1[[#This Row],[Achievement %]]&gt;=100%,"Completed","Pending")</f>
        <v>Pending</v>
      </c>
    </row>
    <row r="6" spans="1:16" ht="13.8" x14ac:dyDescent="0.25">
      <c r="A6">
        <v>1005</v>
      </c>
      <c r="B6" s="1">
        <v>45662</v>
      </c>
      <c r="C6" t="s">
        <v>9</v>
      </c>
      <c r="D6" t="s">
        <v>10</v>
      </c>
      <c r="E6" t="s">
        <v>11</v>
      </c>
      <c r="F6" t="s">
        <v>12</v>
      </c>
      <c r="G6">
        <v>1</v>
      </c>
      <c r="H6">
        <v>55000</v>
      </c>
      <c r="I6">
        <v>0</v>
      </c>
      <c r="J6">
        <f>Table1[[#This Row],[Units]]*Table1[[#This Row],[Unit Price]]</f>
        <v>55000</v>
      </c>
      <c r="K6">
        <f>Table1[[#This Row],[Gross Sales]]-Table1[[#This Row],[Discount %]]</f>
        <v>55000</v>
      </c>
      <c r="L6">
        <f>Table1[[#This Row],[Gross Sales]]*Table1[[#This Row],[Discount %]]</f>
        <v>0</v>
      </c>
      <c r="M6" s="3" t="str">
        <f>IF(Table1[[#This Row],[Net Sales]]&gt;100000,"Excellent",IF(Table1[[#This Row],[Net Sales]]&gt;=50000,"Good",IF(Table1[[#This Row],[Net Sales]]&lt;50000,"Average")))</f>
        <v>Good</v>
      </c>
      <c r="N6" s="3">
        <f>VLOOKUP(D6,$I$25:$J$29,2,FALSE)</f>
        <v>350000</v>
      </c>
      <c r="O6" s="6">
        <f>Table1[[#This Row],[Net Sales]]/Table1[[#This Row],[Monthly Target]]</f>
        <v>0.15714285714285714</v>
      </c>
      <c r="P6" s="3" t="str">
        <f>IF(Table1[[#This Row],[Achievement %]]&gt;=100%,"Completed","Pending")</f>
        <v>Pending</v>
      </c>
    </row>
    <row r="7" spans="1:16" ht="13.8" x14ac:dyDescent="0.25">
      <c r="A7">
        <v>1006</v>
      </c>
      <c r="B7" s="1">
        <v>45663</v>
      </c>
      <c r="C7" t="s">
        <v>13</v>
      </c>
      <c r="D7" t="s">
        <v>14</v>
      </c>
      <c r="E7" t="s">
        <v>22</v>
      </c>
      <c r="F7" t="s">
        <v>12</v>
      </c>
      <c r="G7">
        <v>2</v>
      </c>
      <c r="H7">
        <v>18000</v>
      </c>
      <c r="I7">
        <v>5</v>
      </c>
      <c r="J7">
        <f>Table1[[#This Row],[Units]]*Table1[[#This Row],[Unit Price]]</f>
        <v>36000</v>
      </c>
      <c r="K7">
        <f>Table1[[#This Row],[Gross Sales]]-Table1[[#This Row],[Discount %]]</f>
        <v>35995</v>
      </c>
      <c r="L7">
        <f>Table1[[#This Row],[Gross Sales]]*Table1[[#This Row],[Discount %]]</f>
        <v>180000</v>
      </c>
      <c r="M7" s="3" t="str">
        <f>IF(Table1[[#This Row],[Net Sales]]&gt;100000,"Excellent",IF(Table1[[#This Row],[Net Sales]]&gt;=50000,"Good",IF(Table1[[#This Row],[Net Sales]]&lt;50000,"Average")))</f>
        <v>Average</v>
      </c>
      <c r="N7" s="3">
        <f>VLOOKUP(D7,$I$25:$J$29,2,FALSE)</f>
        <v>300000</v>
      </c>
      <c r="O7" s="6">
        <f>Table1[[#This Row],[Net Sales]]/Table1[[#This Row],[Monthly Target]]</f>
        <v>0.11998333333333333</v>
      </c>
      <c r="P7" s="3" t="str">
        <f>IF(Table1[[#This Row],[Achievement %]]&gt;=100%,"Completed","Pending")</f>
        <v>Pending</v>
      </c>
    </row>
    <row r="8" spans="1:16" ht="13.8" x14ac:dyDescent="0.25">
      <c r="A8">
        <v>1007</v>
      </c>
      <c r="B8" s="1">
        <v>45664</v>
      </c>
      <c r="C8" t="s">
        <v>17</v>
      </c>
      <c r="D8" t="s">
        <v>18</v>
      </c>
      <c r="E8" t="s">
        <v>15</v>
      </c>
      <c r="F8" t="s">
        <v>16</v>
      </c>
      <c r="G8">
        <v>15</v>
      </c>
      <c r="H8">
        <v>600</v>
      </c>
      <c r="I8">
        <v>15</v>
      </c>
      <c r="J8">
        <f>Table1[[#This Row],[Units]]*Table1[[#This Row],[Unit Price]]</f>
        <v>9000</v>
      </c>
      <c r="K8">
        <f>Table1[[#This Row],[Gross Sales]]-Table1[[#This Row],[Discount %]]</f>
        <v>8985</v>
      </c>
      <c r="L8">
        <f>Table1[[#This Row],[Gross Sales]]*Table1[[#This Row],[Discount %]]</f>
        <v>135000</v>
      </c>
      <c r="M8" s="3" t="str">
        <f>IF(Table1[[#This Row],[Net Sales]]&gt;100000,"Excellent",IF(Table1[[#This Row],[Net Sales]]&gt;=50000,"Good",IF(Table1[[#This Row],[Net Sales]]&lt;50000,"Average")))</f>
        <v>Average</v>
      </c>
      <c r="N8" s="3">
        <f>VLOOKUP(D8,$I$25:$J$29,2,FALSE)</f>
        <v>320000</v>
      </c>
      <c r="O8" s="6">
        <f>Table1[[#This Row],[Net Sales]]/Table1[[#This Row],[Monthly Target]]</f>
        <v>2.8078124999999999E-2</v>
      </c>
      <c r="P8" s="3" t="str">
        <f>IF(Table1[[#This Row],[Achievement %]]&gt;=100%,"Completed","Pending")</f>
        <v>Pending</v>
      </c>
    </row>
    <row r="9" spans="1:16" ht="13.8" x14ac:dyDescent="0.25">
      <c r="A9">
        <v>1008</v>
      </c>
      <c r="B9" s="1">
        <v>45665</v>
      </c>
      <c r="C9" t="s">
        <v>20</v>
      </c>
      <c r="D9" t="s">
        <v>21</v>
      </c>
      <c r="E9" t="s">
        <v>11</v>
      </c>
      <c r="F9" t="s">
        <v>12</v>
      </c>
      <c r="G9">
        <v>2</v>
      </c>
      <c r="H9">
        <v>55000</v>
      </c>
      <c r="I9">
        <v>10</v>
      </c>
      <c r="J9">
        <f>Table1[[#This Row],[Units]]*Table1[[#This Row],[Unit Price]]</f>
        <v>110000</v>
      </c>
      <c r="K9">
        <f>Table1[[#This Row],[Gross Sales]]-Table1[[#This Row],[Discount %]]</f>
        <v>109990</v>
      </c>
      <c r="L9">
        <f>Table1[[#This Row],[Gross Sales]]*Table1[[#This Row],[Discount %]]</f>
        <v>1100000</v>
      </c>
      <c r="M9" s="3" t="str">
        <f>IF(Table1[[#This Row],[Net Sales]]&gt;100000,"Excellent",IF(Table1[[#This Row],[Net Sales]]&gt;=50000,"Good",IF(Table1[[#This Row],[Net Sales]]&lt;50000,"Average")))</f>
        <v>Excellent</v>
      </c>
      <c r="N9" s="3">
        <f>VLOOKUP(D9,$I$25:$J$29,2,FALSE)</f>
        <v>340000</v>
      </c>
      <c r="O9" s="6">
        <f>Table1[[#This Row],[Net Sales]]/Table1[[#This Row],[Monthly Target]]</f>
        <v>0.32350000000000001</v>
      </c>
      <c r="P9" s="3" t="str">
        <f>IF(Table1[[#This Row],[Achievement %]]&gt;=100%,"Completed","Pending")</f>
        <v>Pending</v>
      </c>
    </row>
    <row r="10" spans="1:16" ht="13.8" x14ac:dyDescent="0.25">
      <c r="A10">
        <v>1009</v>
      </c>
      <c r="B10" s="1">
        <v>45666</v>
      </c>
      <c r="C10" t="s">
        <v>9</v>
      </c>
      <c r="D10" t="s">
        <v>10</v>
      </c>
      <c r="E10" t="s">
        <v>19</v>
      </c>
      <c r="F10" t="s">
        <v>16</v>
      </c>
      <c r="G10">
        <v>5</v>
      </c>
      <c r="H10">
        <v>1200</v>
      </c>
      <c r="I10">
        <v>0</v>
      </c>
      <c r="J10">
        <f>Table1[[#This Row],[Units]]*Table1[[#This Row],[Unit Price]]</f>
        <v>6000</v>
      </c>
      <c r="K10">
        <f>Table1[[#This Row],[Gross Sales]]-Table1[[#This Row],[Discount %]]</f>
        <v>6000</v>
      </c>
      <c r="L10">
        <f>Table1[[#This Row],[Gross Sales]]*Table1[[#This Row],[Discount %]]</f>
        <v>0</v>
      </c>
      <c r="M10" s="3" t="str">
        <f>IF(Table1[[#This Row],[Net Sales]]&gt;100000,"Excellent",IF(Table1[[#This Row],[Net Sales]]&gt;=50000,"Good",IF(Table1[[#This Row],[Net Sales]]&lt;50000,"Average")))</f>
        <v>Average</v>
      </c>
      <c r="N10" s="3">
        <f>VLOOKUP(D10,$I$25:$J$29,2,FALSE)</f>
        <v>350000</v>
      </c>
      <c r="O10" s="6">
        <f>Table1[[#This Row],[Net Sales]]/Table1[[#This Row],[Monthly Target]]</f>
        <v>1.7142857142857144E-2</v>
      </c>
      <c r="P10" s="3" t="str">
        <f>IF(Table1[[#This Row],[Achievement %]]&gt;=100%,"Completed","Pending")</f>
        <v>Pending</v>
      </c>
    </row>
    <row r="11" spans="1:16" ht="13.8" x14ac:dyDescent="0.25">
      <c r="A11">
        <v>1010</v>
      </c>
      <c r="B11" s="1">
        <v>45667</v>
      </c>
      <c r="C11" t="s">
        <v>13</v>
      </c>
      <c r="D11" t="s">
        <v>14</v>
      </c>
      <c r="E11" t="s">
        <v>11</v>
      </c>
      <c r="F11" t="s">
        <v>12</v>
      </c>
      <c r="G11">
        <v>3</v>
      </c>
      <c r="H11">
        <v>55000</v>
      </c>
      <c r="I11">
        <v>5</v>
      </c>
      <c r="J11">
        <f>Table1[[#This Row],[Units]]*Table1[[#This Row],[Unit Price]]</f>
        <v>165000</v>
      </c>
      <c r="K11">
        <f>Table1[[#This Row],[Gross Sales]]-Table1[[#This Row],[Discount %]]</f>
        <v>164995</v>
      </c>
      <c r="L11">
        <f>Table1[[#This Row],[Gross Sales]]*Table1[[#This Row],[Discount %]]</f>
        <v>825000</v>
      </c>
      <c r="M11" s="3" t="str">
        <f>IF(Table1[[#This Row],[Net Sales]]&gt;100000,"Excellent",IF(Table1[[#This Row],[Net Sales]]&gt;=50000,"Good",IF(Table1[[#This Row],[Net Sales]]&lt;50000,"Average")))</f>
        <v>Excellent</v>
      </c>
      <c r="N11" s="3">
        <f>VLOOKUP(D11,$I$25:$J$29,2,FALSE)</f>
        <v>300000</v>
      </c>
      <c r="O11" s="6">
        <f>Table1[[#This Row],[Net Sales]]/Table1[[#This Row],[Monthly Target]]</f>
        <v>0.54998333333333338</v>
      </c>
      <c r="P11" s="3" t="str">
        <f>IF(Table1[[#This Row],[Achievement %]]&gt;=100%,"Completed","Pending")</f>
        <v>Pending</v>
      </c>
    </row>
    <row r="12" spans="1:16" ht="13.8" x14ac:dyDescent="0.25">
      <c r="A12">
        <v>1011</v>
      </c>
      <c r="B12" s="1">
        <v>45668</v>
      </c>
      <c r="C12" t="s">
        <v>17</v>
      </c>
      <c r="D12" t="s">
        <v>18</v>
      </c>
      <c r="E12" t="s">
        <v>22</v>
      </c>
      <c r="F12" t="s">
        <v>12</v>
      </c>
      <c r="G12">
        <v>1</v>
      </c>
      <c r="H12">
        <v>18000</v>
      </c>
      <c r="I12">
        <v>0</v>
      </c>
      <c r="J12">
        <f>Table1[[#This Row],[Units]]*Table1[[#This Row],[Unit Price]]</f>
        <v>18000</v>
      </c>
      <c r="K12">
        <f>Table1[[#This Row],[Gross Sales]]-Table1[[#This Row],[Discount %]]</f>
        <v>18000</v>
      </c>
      <c r="L12">
        <f>Table1[[#This Row],[Gross Sales]]*Table1[[#This Row],[Discount %]]</f>
        <v>0</v>
      </c>
      <c r="M12" s="3" t="str">
        <f>IF(Table1[[#This Row],[Net Sales]]&gt;100000,"Excellent",IF(Table1[[#This Row],[Net Sales]]&gt;=50000,"Good",IF(Table1[[#This Row],[Net Sales]]&lt;50000,"Average")))</f>
        <v>Average</v>
      </c>
      <c r="N12" s="3">
        <f>VLOOKUP(D12,$I$25:$J$29,2,FALSE)</f>
        <v>320000</v>
      </c>
      <c r="O12" s="6">
        <f>Table1[[#This Row],[Net Sales]]/Table1[[#This Row],[Monthly Target]]</f>
        <v>5.6250000000000001E-2</v>
      </c>
      <c r="P12" s="3" t="str">
        <f>IF(Table1[[#This Row],[Achievement %]]&gt;=100%,"Completed","Pending")</f>
        <v>Pending</v>
      </c>
    </row>
    <row r="13" spans="1:16" ht="13.8" x14ac:dyDescent="0.25">
      <c r="A13">
        <v>1012</v>
      </c>
      <c r="B13" s="1">
        <v>45669</v>
      </c>
      <c r="C13" t="s">
        <v>20</v>
      </c>
      <c r="D13" t="s">
        <v>21</v>
      </c>
      <c r="E13" t="s">
        <v>15</v>
      </c>
      <c r="F13" t="s">
        <v>16</v>
      </c>
      <c r="G13">
        <v>20</v>
      </c>
      <c r="H13">
        <v>600</v>
      </c>
      <c r="I13">
        <v>20</v>
      </c>
      <c r="J13">
        <f>Table1[[#This Row],[Units]]*Table1[[#This Row],[Unit Price]]</f>
        <v>12000</v>
      </c>
      <c r="K13">
        <f>Table1[[#This Row],[Gross Sales]]-Table1[[#This Row],[Discount %]]</f>
        <v>11980</v>
      </c>
      <c r="L13">
        <f>Table1[[#This Row],[Gross Sales]]*Table1[[#This Row],[Discount %]]</f>
        <v>240000</v>
      </c>
      <c r="M13" s="3" t="str">
        <f>IF(Table1[[#This Row],[Net Sales]]&gt;100000,"Excellent",IF(Table1[[#This Row],[Net Sales]]&gt;=50000,"Good",IF(Table1[[#This Row],[Net Sales]]&lt;50000,"Average")))</f>
        <v>Average</v>
      </c>
      <c r="N13" s="3">
        <f>VLOOKUP(D13,$I$25:$J$29,2,FALSE)</f>
        <v>340000</v>
      </c>
      <c r="O13" s="6">
        <f>Table1[[#This Row],[Net Sales]]/Table1[[#This Row],[Monthly Target]]</f>
        <v>3.5235294117647059E-2</v>
      </c>
      <c r="P13" s="3" t="str">
        <f>IF(Table1[[#This Row],[Achievement %]]&gt;=100%,"Completed","Pending")</f>
        <v>Pending</v>
      </c>
    </row>
    <row r="14" spans="1:16" ht="13.8" x14ac:dyDescent="0.25">
      <c r="A14">
        <v>1013</v>
      </c>
      <c r="B14" s="1">
        <v>45670</v>
      </c>
      <c r="C14" t="s">
        <v>9</v>
      </c>
      <c r="D14" t="s">
        <v>10</v>
      </c>
      <c r="E14" t="s">
        <v>22</v>
      </c>
      <c r="F14" t="s">
        <v>12</v>
      </c>
      <c r="G14">
        <v>2</v>
      </c>
      <c r="H14">
        <v>18000</v>
      </c>
      <c r="I14">
        <v>5</v>
      </c>
      <c r="J14">
        <f>Table1[[#This Row],[Units]]*Table1[[#This Row],[Unit Price]]</f>
        <v>36000</v>
      </c>
      <c r="K14">
        <f>Table1[[#This Row],[Gross Sales]]-Table1[[#This Row],[Discount %]]</f>
        <v>35995</v>
      </c>
      <c r="L14">
        <f>Table1[[#This Row],[Gross Sales]]*Table1[[#This Row],[Discount %]]</f>
        <v>180000</v>
      </c>
      <c r="M14" s="3" t="str">
        <f>IF(Table1[[#This Row],[Net Sales]]&gt;100000,"Excellent",IF(Table1[[#This Row],[Net Sales]]&gt;=50000,"Good",IF(Table1[[#This Row],[Net Sales]]&lt;50000,"Average")))</f>
        <v>Average</v>
      </c>
      <c r="N14" s="3">
        <f>VLOOKUP(D14,$I$25:$J$29,2,FALSE)</f>
        <v>350000</v>
      </c>
      <c r="O14" s="6">
        <f>Table1[[#This Row],[Net Sales]]/Table1[[#This Row],[Monthly Target]]</f>
        <v>0.10284285714285714</v>
      </c>
      <c r="P14" s="3" t="str">
        <f>IF(Table1[[#This Row],[Achievement %]]&gt;=100%,"Completed","Pending")</f>
        <v>Pending</v>
      </c>
    </row>
    <row r="15" spans="1:16" ht="13.8" x14ac:dyDescent="0.25">
      <c r="A15">
        <v>1014</v>
      </c>
      <c r="B15" s="1">
        <v>45671</v>
      </c>
      <c r="C15" t="s">
        <v>13</v>
      </c>
      <c r="D15" t="s">
        <v>14</v>
      </c>
      <c r="E15" t="s">
        <v>19</v>
      </c>
      <c r="F15" t="s">
        <v>16</v>
      </c>
      <c r="G15">
        <v>4</v>
      </c>
      <c r="H15">
        <v>1200</v>
      </c>
      <c r="I15">
        <v>10</v>
      </c>
      <c r="J15">
        <f>Table1[[#This Row],[Units]]*Table1[[#This Row],[Unit Price]]</f>
        <v>4800</v>
      </c>
      <c r="K15">
        <f>Table1[[#This Row],[Gross Sales]]-Table1[[#This Row],[Discount %]]</f>
        <v>4790</v>
      </c>
      <c r="L15">
        <f>Table1[[#This Row],[Gross Sales]]*Table1[[#This Row],[Discount %]]</f>
        <v>48000</v>
      </c>
      <c r="M15" s="3" t="str">
        <f>IF(Table1[[#This Row],[Net Sales]]&gt;100000,"Excellent",IF(Table1[[#This Row],[Net Sales]]&gt;=50000,"Good",IF(Table1[[#This Row],[Net Sales]]&lt;50000,"Average")))</f>
        <v>Average</v>
      </c>
      <c r="N15" s="3">
        <f>VLOOKUP(D15,$I$25:$J$29,2,FALSE)</f>
        <v>300000</v>
      </c>
      <c r="O15" s="6">
        <f>Table1[[#This Row],[Net Sales]]/Table1[[#This Row],[Monthly Target]]</f>
        <v>1.5966666666666667E-2</v>
      </c>
      <c r="P15" s="3" t="str">
        <f>IF(Table1[[#This Row],[Achievement %]]&gt;=100%,"Completed","Pending")</f>
        <v>Pending</v>
      </c>
    </row>
    <row r="16" spans="1:16" ht="13.8" x14ac:dyDescent="0.25">
      <c r="A16">
        <v>1015</v>
      </c>
      <c r="B16" s="1">
        <v>45672</v>
      </c>
      <c r="C16" t="s">
        <v>17</v>
      </c>
      <c r="D16" t="s">
        <v>18</v>
      </c>
      <c r="E16" t="s">
        <v>11</v>
      </c>
      <c r="F16" t="s">
        <v>12</v>
      </c>
      <c r="G16">
        <v>1</v>
      </c>
      <c r="H16">
        <v>55000</v>
      </c>
      <c r="I16">
        <v>5</v>
      </c>
      <c r="J16">
        <f>Table1[[#This Row],[Units]]*Table1[[#This Row],[Unit Price]]</f>
        <v>55000</v>
      </c>
      <c r="K16">
        <f>Table1[[#This Row],[Gross Sales]]-Table1[[#This Row],[Discount %]]</f>
        <v>54995</v>
      </c>
      <c r="L16">
        <f>Table1[[#This Row],[Gross Sales]]*Table1[[#This Row],[Discount %]]</f>
        <v>275000</v>
      </c>
      <c r="M16" s="3" t="str">
        <f>IF(Table1[[#This Row],[Net Sales]]&gt;100000,"Excellent",IF(Table1[[#This Row],[Net Sales]]&gt;=50000,"Good",IF(Table1[[#This Row],[Net Sales]]&lt;50000,"Average")))</f>
        <v>Good</v>
      </c>
      <c r="N16" s="3">
        <f>VLOOKUP(D16,$I$25:$J$29,2,FALSE)</f>
        <v>320000</v>
      </c>
      <c r="O16" s="6">
        <f>Table1[[#This Row],[Net Sales]]/Table1[[#This Row],[Monthly Target]]</f>
        <v>0.17185937500000001</v>
      </c>
      <c r="P16" s="3" t="str">
        <f>IF(Table1[[#This Row],[Achievement %]]&gt;=100%,"Completed","Pending")</f>
        <v>Pending</v>
      </c>
    </row>
    <row r="17" spans="1:16" ht="13.8" x14ac:dyDescent="0.25">
      <c r="A17">
        <v>1016</v>
      </c>
      <c r="B17" s="1">
        <v>45673</v>
      </c>
      <c r="C17" t="s">
        <v>20</v>
      </c>
      <c r="D17" t="s">
        <v>21</v>
      </c>
      <c r="E17" t="s">
        <v>19</v>
      </c>
      <c r="F17" t="s">
        <v>16</v>
      </c>
      <c r="G17">
        <v>7</v>
      </c>
      <c r="H17">
        <v>1200</v>
      </c>
      <c r="I17">
        <v>0</v>
      </c>
      <c r="J17">
        <f>Table1[[#This Row],[Units]]*Table1[[#This Row],[Unit Price]]</f>
        <v>8400</v>
      </c>
      <c r="K17">
        <f>Table1[[#This Row],[Gross Sales]]-Table1[[#This Row],[Discount %]]</f>
        <v>8400</v>
      </c>
      <c r="L17">
        <f>Table1[[#This Row],[Gross Sales]]*Table1[[#This Row],[Discount %]]</f>
        <v>0</v>
      </c>
      <c r="M17" s="3" t="str">
        <f>IF(Table1[[#This Row],[Net Sales]]&gt;100000,"Excellent",IF(Table1[[#This Row],[Net Sales]]&gt;=50000,"Good",IF(Table1[[#This Row],[Net Sales]]&lt;50000,"Average")))</f>
        <v>Average</v>
      </c>
      <c r="N17" s="3">
        <f>VLOOKUP(D17,$I$25:$J$29,2,FALSE)</f>
        <v>340000</v>
      </c>
      <c r="O17" s="6">
        <f>Table1[[#This Row],[Net Sales]]/Table1[[#This Row],[Monthly Target]]</f>
        <v>2.4705882352941175E-2</v>
      </c>
      <c r="P17" s="3" t="str">
        <f>IF(Table1[[#This Row],[Achievement %]]&gt;=100%,"Completed","Pending")</f>
        <v>Pending</v>
      </c>
    </row>
    <row r="18" spans="1:16" ht="13.8" x14ac:dyDescent="0.25">
      <c r="A18">
        <v>1017</v>
      </c>
      <c r="B18" s="1">
        <v>45674</v>
      </c>
      <c r="C18" t="s">
        <v>9</v>
      </c>
      <c r="D18" t="s">
        <v>10</v>
      </c>
      <c r="E18" t="s">
        <v>15</v>
      </c>
      <c r="F18" t="s">
        <v>16</v>
      </c>
      <c r="G18">
        <v>25</v>
      </c>
      <c r="H18">
        <v>600</v>
      </c>
      <c r="I18">
        <v>10</v>
      </c>
      <c r="J18">
        <f>Table1[[#This Row],[Units]]*Table1[[#This Row],[Unit Price]]</f>
        <v>15000</v>
      </c>
      <c r="K18">
        <f>Table1[[#This Row],[Gross Sales]]-Table1[[#This Row],[Discount %]]</f>
        <v>14990</v>
      </c>
      <c r="L18">
        <f>Table1[[#This Row],[Gross Sales]]*Table1[[#This Row],[Discount %]]</f>
        <v>150000</v>
      </c>
      <c r="M18" s="3" t="str">
        <f>IF(Table1[[#This Row],[Net Sales]]&gt;100000,"Excellent",IF(Table1[[#This Row],[Net Sales]]&gt;=50000,"Good",IF(Table1[[#This Row],[Net Sales]]&lt;50000,"Average")))</f>
        <v>Average</v>
      </c>
      <c r="N18" s="3">
        <f>VLOOKUP(D18,$I$25:$J$29,2,FALSE)</f>
        <v>350000</v>
      </c>
      <c r="O18" s="6">
        <f>Table1[[#This Row],[Net Sales]]/Table1[[#This Row],[Monthly Target]]</f>
        <v>4.2828571428571431E-2</v>
      </c>
      <c r="P18" s="3" t="str">
        <f>IF(Table1[[#This Row],[Achievement %]]&gt;=100%,"Completed","Pending")</f>
        <v>Pending</v>
      </c>
    </row>
    <row r="19" spans="1:16" ht="13.8" x14ac:dyDescent="0.25">
      <c r="A19">
        <v>1018</v>
      </c>
      <c r="B19" s="1">
        <v>45675</v>
      </c>
      <c r="C19" t="s">
        <v>13</v>
      </c>
      <c r="D19" t="s">
        <v>14</v>
      </c>
      <c r="E19" t="s">
        <v>22</v>
      </c>
      <c r="F19" t="s">
        <v>12</v>
      </c>
      <c r="G19">
        <v>2</v>
      </c>
      <c r="H19">
        <v>18000</v>
      </c>
      <c r="I19">
        <v>5</v>
      </c>
      <c r="J19">
        <f>Table1[[#This Row],[Units]]*Table1[[#This Row],[Unit Price]]</f>
        <v>36000</v>
      </c>
      <c r="K19">
        <f>Table1[[#This Row],[Gross Sales]]-Table1[[#This Row],[Discount %]]</f>
        <v>35995</v>
      </c>
      <c r="L19">
        <f>Table1[[#This Row],[Gross Sales]]*Table1[[#This Row],[Discount %]]</f>
        <v>180000</v>
      </c>
      <c r="M19" s="3" t="str">
        <f>IF(Table1[[#This Row],[Net Sales]]&gt;100000,"Excellent",IF(Table1[[#This Row],[Net Sales]]&gt;=50000,"Good",IF(Table1[[#This Row],[Net Sales]]&lt;50000,"Average")))</f>
        <v>Average</v>
      </c>
      <c r="N19" s="3">
        <f>VLOOKUP(D19,$I$25:$J$29,2,FALSE)</f>
        <v>300000</v>
      </c>
      <c r="O19" s="6">
        <f>Table1[[#This Row],[Net Sales]]/Table1[[#This Row],[Monthly Target]]</f>
        <v>0.11998333333333333</v>
      </c>
      <c r="P19" s="3" t="str">
        <f>IF(Table1[[#This Row],[Achievement %]]&gt;=100%,"Completed","Pending")</f>
        <v>Pending</v>
      </c>
    </row>
    <row r="20" spans="1:16" ht="13.8" x14ac:dyDescent="0.25">
      <c r="A20">
        <v>1019</v>
      </c>
      <c r="B20" s="1">
        <v>45676</v>
      </c>
      <c r="C20" t="s">
        <v>17</v>
      </c>
      <c r="D20" t="s">
        <v>18</v>
      </c>
      <c r="E20" t="s">
        <v>11</v>
      </c>
      <c r="F20" t="s">
        <v>12</v>
      </c>
      <c r="G20">
        <v>4</v>
      </c>
      <c r="H20">
        <v>55000</v>
      </c>
      <c r="I20">
        <v>8</v>
      </c>
      <c r="J20">
        <f>Table1[[#This Row],[Units]]*Table1[[#This Row],[Unit Price]]</f>
        <v>220000</v>
      </c>
      <c r="K20">
        <f>Table1[[#This Row],[Gross Sales]]-Table1[[#This Row],[Discount %]]</f>
        <v>219992</v>
      </c>
      <c r="L20">
        <f>Table1[[#This Row],[Gross Sales]]*Table1[[#This Row],[Discount %]]</f>
        <v>1760000</v>
      </c>
      <c r="M20" s="3" t="str">
        <f>IF(Table1[[#This Row],[Net Sales]]&gt;100000,"Excellent",IF(Table1[[#This Row],[Net Sales]]&gt;=50000,"Good",IF(Table1[[#This Row],[Net Sales]]&lt;50000,"Average")))</f>
        <v>Excellent</v>
      </c>
      <c r="N20" s="3">
        <f>VLOOKUP(D20,$I$25:$J$29,2,FALSE)</f>
        <v>320000</v>
      </c>
      <c r="O20" s="6">
        <f>Table1[[#This Row],[Net Sales]]/Table1[[#This Row],[Monthly Target]]</f>
        <v>0.68747499999999995</v>
      </c>
      <c r="P20" s="3" t="str">
        <f>IF(Table1[[#This Row],[Achievement %]]&gt;=100%,"Completed","Pending")</f>
        <v>Pending</v>
      </c>
    </row>
    <row r="21" spans="1:16" ht="13.8" x14ac:dyDescent="0.25">
      <c r="A21">
        <v>1020</v>
      </c>
      <c r="B21" s="1">
        <v>45677</v>
      </c>
      <c r="C21" t="s">
        <v>20</v>
      </c>
      <c r="D21" t="s">
        <v>21</v>
      </c>
      <c r="E21" t="s">
        <v>11</v>
      </c>
      <c r="F21" t="s">
        <v>12</v>
      </c>
      <c r="G21">
        <v>1</v>
      </c>
      <c r="H21">
        <v>55000</v>
      </c>
      <c r="I21">
        <v>0</v>
      </c>
      <c r="J21">
        <f>Table1[[#This Row],[Units]]*Table1[[#This Row],[Unit Price]]</f>
        <v>55000</v>
      </c>
      <c r="K21">
        <f>Table1[[#This Row],[Gross Sales]]-Table1[[#This Row],[Discount %]]</f>
        <v>55000</v>
      </c>
      <c r="L21">
        <f>Table1[[#This Row],[Gross Sales]]*Table1[[#This Row],[Discount %]]</f>
        <v>0</v>
      </c>
      <c r="M21" s="3" t="str">
        <f>IF(Table1[[#This Row],[Net Sales]]&gt;100000,"Excellent",IF(Table1[[#This Row],[Net Sales]]&gt;=50000,"Good",IF(Table1[[#This Row],[Net Sales]]&lt;50000,"Average")))</f>
        <v>Good</v>
      </c>
      <c r="N21" s="3">
        <f>VLOOKUP(D21,$I$25:$J$29,2,FALSE)</f>
        <v>340000</v>
      </c>
      <c r="O21" s="6">
        <f>Table1[[#This Row],[Net Sales]]/Table1[[#This Row],[Monthly Target]]</f>
        <v>0.16176470588235295</v>
      </c>
      <c r="P21" s="3" t="str">
        <f>IF(Table1[[#This Row],[Achievement %]]&gt;=100%,"Completed","Pending")</f>
        <v>Pending</v>
      </c>
    </row>
    <row r="25" spans="1:16" ht="13.8" x14ac:dyDescent="0.25">
      <c r="A25" s="2" t="s">
        <v>28</v>
      </c>
      <c r="B25">
        <f>SUM(Table1[Net Sales])</f>
        <v>1018274</v>
      </c>
      <c r="D25" s="2" t="s">
        <v>32</v>
      </c>
      <c r="E25">
        <f>SUMIFS(Table1[Net Sales],Table1[Region],"North")</f>
        <v>221980</v>
      </c>
      <c r="G25">
        <f>COUNTIFS(Table1[Region],"North",Table1[Category],"Electronics",Table1[Discount %],"&gt;=5")</f>
        <v>2</v>
      </c>
      <c r="I25" s="2" t="s">
        <v>3</v>
      </c>
      <c r="J25" s="2" t="s">
        <v>23</v>
      </c>
    </row>
    <row r="26" spans="1:16" ht="13.8" x14ac:dyDescent="0.25">
      <c r="A26" s="2" t="s">
        <v>29</v>
      </c>
      <c r="B26">
        <f>AVERAGE(Table1[Net Sales])</f>
        <v>50913.7</v>
      </c>
      <c r="D26" s="2" t="s">
        <v>33</v>
      </c>
      <c r="E26">
        <f>SUMIFS(Table1[Net Sales],Table1[Region],"South")</f>
        <v>247765</v>
      </c>
      <c r="I26" t="s">
        <v>10</v>
      </c>
      <c r="J26">
        <v>350000</v>
      </c>
    </row>
    <row r="27" spans="1:16" ht="13.8" x14ac:dyDescent="0.25">
      <c r="A27" s="2" t="s">
        <v>30</v>
      </c>
      <c r="B27">
        <f>MAX(Table1[Net Sales])</f>
        <v>219992</v>
      </c>
      <c r="D27" s="2" t="s">
        <v>34</v>
      </c>
      <c r="E27">
        <f>SUMIFS(Table1[Net Sales],Table1[Category],"Electronics")</f>
        <v>949944</v>
      </c>
      <c r="I27" t="s">
        <v>14</v>
      </c>
      <c r="J27">
        <v>300000</v>
      </c>
    </row>
    <row r="28" spans="1:16" ht="13.8" x14ac:dyDescent="0.25">
      <c r="A28" s="2" t="s">
        <v>31</v>
      </c>
      <c r="B28">
        <f>MIN(Table1[Net Sales])</f>
        <v>4790</v>
      </c>
      <c r="D28" s="2" t="s">
        <v>35</v>
      </c>
      <c r="E28">
        <f>SUMIFS(Table1[Net Sales],Table1[Category],"Accessories")</f>
        <v>68330</v>
      </c>
      <c r="I28" t="s">
        <v>18</v>
      </c>
      <c r="J28">
        <v>320000</v>
      </c>
    </row>
    <row r="29" spans="1:16" ht="13.8" x14ac:dyDescent="0.25">
      <c r="I29" t="s">
        <v>21</v>
      </c>
      <c r="J29">
        <v>340000</v>
      </c>
    </row>
  </sheetData>
  <conditionalFormatting sqref="K2:K21">
    <cfRule type="top10" dxfId="3" priority="1" rank="5"/>
    <cfRule type="cellIs" dxfId="2" priority="3" operator="lessThan">
      <formula>10000</formula>
    </cfRule>
    <cfRule type="top10" dxfId="1" priority="4" rank="5"/>
  </conditionalFormatting>
  <conditionalFormatting sqref="O2:O21">
    <cfRule type="cellIs" dxfId="0" priority="2" operator="greaterThan">
      <formula>1</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A82D5-2BF7-4827-B1EC-70ACFA299E82}">
  <dimension ref="A3:D9"/>
  <sheetViews>
    <sheetView workbookViewId="0">
      <selection activeCell="C31" sqref="C31"/>
    </sheetView>
  </sheetViews>
  <sheetFormatPr defaultRowHeight="13.8" x14ac:dyDescent="0.25"/>
  <cols>
    <col min="1" max="1" width="15.3984375" bestFit="1" customWidth="1"/>
    <col min="2" max="2" width="16" bestFit="1" customWidth="1"/>
    <col min="3" max="3" width="10.3984375" bestFit="1" customWidth="1"/>
    <col min="4" max="4" width="11.09765625" bestFit="1" customWidth="1"/>
  </cols>
  <sheetData>
    <row r="3" spans="1:4" x14ac:dyDescent="0.25">
      <c r="A3" s="4" t="s">
        <v>41</v>
      </c>
      <c r="B3" s="4" t="s">
        <v>40</v>
      </c>
    </row>
    <row r="4" spans="1:4" x14ac:dyDescent="0.25">
      <c r="A4" s="4" t="s">
        <v>38</v>
      </c>
      <c r="B4" t="s">
        <v>16</v>
      </c>
      <c r="C4" t="s">
        <v>12</v>
      </c>
      <c r="D4" t="s">
        <v>39</v>
      </c>
    </row>
    <row r="5" spans="1:4" x14ac:dyDescent="0.25">
      <c r="A5" s="5" t="s">
        <v>18</v>
      </c>
      <c r="B5" s="3">
        <v>16180</v>
      </c>
      <c r="C5" s="3">
        <v>292987</v>
      </c>
      <c r="D5" s="3">
        <v>309167</v>
      </c>
    </row>
    <row r="6" spans="1:4" x14ac:dyDescent="0.25">
      <c r="A6" s="5" t="s">
        <v>14</v>
      </c>
      <c r="B6" s="3">
        <v>10780</v>
      </c>
      <c r="C6" s="3">
        <v>236985</v>
      </c>
      <c r="D6" s="3">
        <v>247765</v>
      </c>
    </row>
    <row r="7" spans="1:4" x14ac:dyDescent="0.25">
      <c r="A7" s="5" t="s">
        <v>10</v>
      </c>
      <c r="B7" s="3">
        <v>20990</v>
      </c>
      <c r="C7" s="3">
        <v>200990</v>
      </c>
      <c r="D7" s="3">
        <v>221980</v>
      </c>
    </row>
    <row r="8" spans="1:4" x14ac:dyDescent="0.25">
      <c r="A8" s="5" t="s">
        <v>21</v>
      </c>
      <c r="B8" s="3">
        <v>20380</v>
      </c>
      <c r="C8" s="3">
        <v>218982</v>
      </c>
      <c r="D8" s="3">
        <v>239362</v>
      </c>
    </row>
    <row r="9" spans="1:4" x14ac:dyDescent="0.25">
      <c r="A9" s="5" t="s">
        <v>39</v>
      </c>
      <c r="B9" s="3">
        <v>68330</v>
      </c>
      <c r="C9" s="3">
        <v>949944</v>
      </c>
      <c r="D9" s="3">
        <v>1018274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DB3AA-E51A-4FED-8B7F-D4391E88C0D4}">
  <dimension ref="A3:B8"/>
  <sheetViews>
    <sheetView zoomScale="115" zoomScaleNormal="115" workbookViewId="0">
      <selection activeCell="A3" sqref="A3"/>
    </sheetView>
  </sheetViews>
  <sheetFormatPr defaultRowHeight="13.8" x14ac:dyDescent="0.25"/>
  <cols>
    <col min="1" max="1" width="12.59765625" bestFit="1" customWidth="1"/>
    <col min="2" max="2" width="15.5" bestFit="1" customWidth="1"/>
  </cols>
  <sheetData>
    <row r="3" spans="1:2" x14ac:dyDescent="0.25">
      <c r="A3" s="4" t="s">
        <v>38</v>
      </c>
      <c r="B3" t="s">
        <v>41</v>
      </c>
    </row>
    <row r="4" spans="1:2" x14ac:dyDescent="0.25">
      <c r="A4" s="5" t="s">
        <v>17</v>
      </c>
      <c r="B4" s="3">
        <v>309167</v>
      </c>
    </row>
    <row r="5" spans="1:2" x14ac:dyDescent="0.25">
      <c r="A5" s="5" t="s">
        <v>9</v>
      </c>
      <c r="B5" s="3">
        <v>221980</v>
      </c>
    </row>
    <row r="6" spans="1:2" x14ac:dyDescent="0.25">
      <c r="A6" s="5" t="s">
        <v>13</v>
      </c>
      <c r="B6" s="3">
        <v>247765</v>
      </c>
    </row>
    <row r="7" spans="1:2" x14ac:dyDescent="0.25">
      <c r="A7" s="5" t="s">
        <v>20</v>
      </c>
      <c r="B7" s="3">
        <v>239362</v>
      </c>
    </row>
    <row r="8" spans="1:2" x14ac:dyDescent="0.25">
      <c r="A8" s="5" t="s">
        <v>39</v>
      </c>
      <c r="B8" s="3">
        <v>1018274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9CEC9-8D3D-4E7B-915B-4C1563E9964B}">
  <dimension ref="A3:B8"/>
  <sheetViews>
    <sheetView workbookViewId="0">
      <selection activeCell="A8" sqref="A8"/>
    </sheetView>
  </sheetViews>
  <sheetFormatPr defaultRowHeight="13.8" x14ac:dyDescent="0.25"/>
  <cols>
    <col min="1" max="1" width="12.59765625" bestFit="1" customWidth="1"/>
    <col min="2" max="2" width="15.3984375" bestFit="1" customWidth="1"/>
  </cols>
  <sheetData>
    <row r="3" spans="1:2" x14ac:dyDescent="0.25">
      <c r="A3" s="4" t="s">
        <v>38</v>
      </c>
      <c r="B3" t="s">
        <v>41</v>
      </c>
    </row>
    <row r="4" spans="1:2" x14ac:dyDescent="0.25">
      <c r="A4" s="5" t="s">
        <v>18</v>
      </c>
      <c r="B4" s="3">
        <v>309167</v>
      </c>
    </row>
    <row r="5" spans="1:2" x14ac:dyDescent="0.25">
      <c r="A5" s="5" t="s">
        <v>14</v>
      </c>
      <c r="B5" s="3">
        <v>247765</v>
      </c>
    </row>
    <row r="6" spans="1:2" x14ac:dyDescent="0.25">
      <c r="A6" s="5" t="s">
        <v>21</v>
      </c>
      <c r="B6" s="3">
        <v>239362</v>
      </c>
    </row>
    <row r="7" spans="1:2" x14ac:dyDescent="0.25">
      <c r="A7" s="5" t="s">
        <v>10</v>
      </c>
      <c r="B7" s="3">
        <v>221980</v>
      </c>
    </row>
    <row r="8" spans="1:2" x14ac:dyDescent="0.25">
      <c r="A8" s="5" t="s">
        <v>39</v>
      </c>
      <c r="B8" s="3">
        <v>1018274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A9798-51B0-4007-AA8E-11D5F37298B9}">
  <dimension ref="A3:B8"/>
  <sheetViews>
    <sheetView workbookViewId="0">
      <selection activeCell="B27" sqref="B27"/>
    </sheetView>
  </sheetViews>
  <sheetFormatPr defaultRowHeight="13.8" x14ac:dyDescent="0.25"/>
  <cols>
    <col min="1" max="1" width="12.59765625" bestFit="1" customWidth="1"/>
    <col min="2" max="2" width="15.3984375" bestFit="1" customWidth="1"/>
  </cols>
  <sheetData>
    <row r="3" spans="1:2" x14ac:dyDescent="0.25">
      <c r="A3" s="4" t="s">
        <v>38</v>
      </c>
      <c r="B3" t="s">
        <v>41</v>
      </c>
    </row>
    <row r="4" spans="1:2" x14ac:dyDescent="0.25">
      <c r="A4" s="5" t="s">
        <v>17</v>
      </c>
      <c r="B4" s="3">
        <v>309167</v>
      </c>
    </row>
    <row r="5" spans="1:2" x14ac:dyDescent="0.25">
      <c r="A5" s="5" t="s">
        <v>9</v>
      </c>
      <c r="B5" s="3">
        <v>221980</v>
      </c>
    </row>
    <row r="6" spans="1:2" x14ac:dyDescent="0.25">
      <c r="A6" s="5" t="s">
        <v>13</v>
      </c>
      <c r="B6" s="3">
        <v>247765</v>
      </c>
    </row>
    <row r="7" spans="1:2" x14ac:dyDescent="0.25">
      <c r="A7" s="5" t="s">
        <v>20</v>
      </c>
      <c r="B7" s="3">
        <v>239362</v>
      </c>
    </row>
    <row r="8" spans="1:2" x14ac:dyDescent="0.25">
      <c r="A8" s="5" t="s">
        <v>39</v>
      </c>
      <c r="B8" s="3">
        <v>1018274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FAD63-D52C-4271-BC7F-C0A5B8BB8CB7}">
  <dimension ref="A3:B6"/>
  <sheetViews>
    <sheetView topLeftCell="U1" workbookViewId="0">
      <selection activeCell="B20" sqref="B20"/>
    </sheetView>
  </sheetViews>
  <sheetFormatPr defaultRowHeight="13.8" x14ac:dyDescent="0.25"/>
  <cols>
    <col min="1" max="1" width="12.59765625" bestFit="1" customWidth="1"/>
    <col min="2" max="2" width="15.3984375" bestFit="1" customWidth="1"/>
  </cols>
  <sheetData>
    <row r="3" spans="1:2" x14ac:dyDescent="0.25">
      <c r="A3" s="4" t="s">
        <v>38</v>
      </c>
      <c r="B3" t="s">
        <v>41</v>
      </c>
    </row>
    <row r="4" spans="1:2" x14ac:dyDescent="0.25">
      <c r="A4" s="5" t="s">
        <v>16</v>
      </c>
      <c r="B4" s="3">
        <v>68330</v>
      </c>
    </row>
    <row r="5" spans="1:2" x14ac:dyDescent="0.25">
      <c r="A5" s="5" t="s">
        <v>12</v>
      </c>
      <c r="B5" s="3">
        <v>949944</v>
      </c>
    </row>
    <row r="6" spans="1:2" x14ac:dyDescent="0.25">
      <c r="A6" s="5" t="s">
        <v>39</v>
      </c>
      <c r="B6" s="3">
        <v>1018274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4846F-6EDC-4B48-82C7-0514E6AAD6E5}">
  <dimension ref="K13"/>
  <sheetViews>
    <sheetView showGridLines="0" tabSelected="1" topLeftCell="A2" zoomScale="71" zoomScaleNormal="99" workbookViewId="0">
      <selection activeCell="H24" sqref="H24"/>
    </sheetView>
  </sheetViews>
  <sheetFormatPr defaultRowHeight="13.8" x14ac:dyDescent="0.25"/>
  <sheetData>
    <row r="13" spans="11:11" x14ac:dyDescent="0.25">
      <c r="K13" t="s">
        <v>42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Original Data</vt:lpstr>
      <vt:lpstr>Pivot 1</vt:lpstr>
      <vt:lpstr>Pivot 2</vt:lpstr>
      <vt:lpstr>Best SalesPerson</vt:lpstr>
      <vt:lpstr>Region Wise SalesPerson</vt:lpstr>
      <vt:lpstr>Category-wise Pie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pn kavitha</dc:creator>
  <cp:lastModifiedBy>pn kavitha</cp:lastModifiedBy>
  <dcterms:created xsi:type="dcterms:W3CDTF">2026-06-27T03:57:06Z</dcterms:created>
  <dcterms:modified xsi:type="dcterms:W3CDTF">2026-06-28T05:55:21Z</dcterms:modified>
</cp:coreProperties>
</file>